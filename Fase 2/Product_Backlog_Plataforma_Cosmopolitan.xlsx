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storias de Usuario" sheetId="1" state="visible" r:id="rId1"/>
    <sheet xmlns:r="http://schemas.openxmlformats.org/officeDocument/2006/relationships" name="Épicas y resumen" sheetId="2" state="visible" r:id="rId2"/>
    <sheet xmlns:r="http://schemas.openxmlformats.org/officeDocument/2006/relationships" name="Leyenda" sheetId="3" state="visible" r:id="rId3"/>
    <sheet xmlns:r="http://schemas.openxmlformats.org/officeDocument/2006/relationships" name="Instructivo" sheetId="4" state="visible" r:id="rId4"/>
  </sheets>
  <definedNames>
    <definedName name="_xlnm._FilterDatabase" localSheetId="0" hidden="1">'Historias de Usuario'!$A$1:$K$51</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0"/>
      <color theme="1"/>
      <sz val="11"/>
    </font>
    <font>
      <name val="Arial"/>
      <family val="0"/>
      <sz val="10"/>
    </font>
    <font>
      <name val="Arial"/>
      <family val="0"/>
      <sz val="10"/>
    </font>
    <font>
      <name val="Arial"/>
      <family val="0"/>
      <sz val="10"/>
    </font>
    <font>
      <name val="Calibri"/>
      <charset val="1"/>
      <family val="0"/>
      <b val="1"/>
      <color theme="1"/>
      <sz val="28"/>
    </font>
    <font>
      <name val="Calibri"/>
      <charset val="1"/>
      <family val="0"/>
      <b val="1"/>
      <color rgb="FF1F497D"/>
      <sz val="16"/>
    </font>
    <font>
      <name val="Calibri"/>
      <charset val="1"/>
      <family val="0"/>
      <b val="1"/>
      <color theme="1"/>
      <sz val="11"/>
    </font>
    <font>
      <name val="Calibri"/>
      <charset val="1"/>
      <family val="0"/>
      <color theme="0"/>
      <sz val="11"/>
    </font>
    <font>
      <name val="Calibri"/>
      <charset val="1"/>
      <family val="0"/>
      <b val="1"/>
      <color theme="1"/>
      <sz val="24"/>
    </font>
    <font>
      <name val="Calibri"/>
      <charset val="1"/>
      <family val="0"/>
      <b val="1"/>
      <color rgb="FF003366"/>
      <sz val="14"/>
    </font>
    <font>
      <name val="Calibri"/>
      <charset val="1"/>
      <family val="0"/>
      <b val="1"/>
      <color rgb="FF003366"/>
      <sz val="13"/>
    </font>
    <font>
      <name val="Calibri"/>
      <charset val="1"/>
      <family val="0"/>
      <b val="1"/>
      <color rgb="FFFFFFFF"/>
      <sz val="11"/>
    </font>
  </fonts>
  <fills count="5">
    <fill>
      <patternFill/>
    </fill>
    <fill>
      <patternFill patternType="gray125"/>
    </fill>
    <fill>
      <patternFill patternType="solid">
        <fgColor theme="0"/>
        <bgColor rgb="FFFFFFCC"/>
      </patternFill>
    </fill>
    <fill>
      <patternFill patternType="solid">
        <fgColor rgb="FF1F497D"/>
        <bgColor rgb="FF003366"/>
      </patternFill>
    </fill>
    <fill>
      <patternFill patternType="solid">
        <fgColor rgb="FF003366"/>
        <bgColor rgb="FF1F497D"/>
      </patternFill>
    </fill>
  </fills>
  <borders count="3">
    <border>
      <left/>
      <right/>
      <top/>
      <bottom/>
      <diagonal/>
    </border>
    <border>
      <left style="thin"/>
      <right style="thin"/>
      <top style="thin"/>
      <bottom style="thin"/>
      <diagonal/>
    </border>
    <border>
      <left style="thin">
        <color rgb="FF999999"/>
      </left>
      <right style="thin">
        <color rgb="FF999999"/>
      </right>
      <top style="thin">
        <color rgb="FF999999"/>
      </top>
      <bottom style="thin">
        <color rgb="FF9999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bottom"/>
    </xf>
    <xf numFmtId="0" fontId="7" fillId="3" borderId="1"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4" borderId="2" applyAlignment="1" pivotButton="0" quotePrefix="0" xfId="0">
      <alignment horizontal="center" vertical="center" wrapText="1"/>
    </xf>
    <xf numFmtId="0" fontId="0" fillId="0" borderId="2" applyAlignment="1" pivotButton="0" quotePrefix="0" xfId="0">
      <alignment horizontal="center" vertical="top" wrapText="1"/>
    </xf>
    <xf numFmtId="0" fontId="0" fillId="0" borderId="2" applyAlignment="1" pivotButton="0" quotePrefix="0" xfId="0">
      <alignment horizontal="general" vertical="top" wrapText="1"/>
    </xf>
    <xf numFmtId="0" fontId="6" fillId="0" borderId="2" applyAlignment="1" pivotButton="0" quotePrefix="0" xfId="0">
      <alignment horizontal="general" vertical="bottom"/>
    </xf>
    <xf numFmtId="0" fontId="0" fillId="0" borderId="2" applyAlignment="1" pivotButton="0" quotePrefix="0" xfId="0">
      <alignment horizontal="general" vertical="bottom"/>
    </xf>
    <xf numFmtId="0" fontId="6" fillId="0" borderId="2" applyAlignment="1" pivotButton="0" quotePrefix="0" xfId="0">
      <alignment horizontal="center" vertical="top" wrapText="1"/>
    </xf>
    <xf numFmtId="0" fontId="7"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0" borderId="0" applyAlignment="1" pivotButton="0" quotePrefix="0" xfId="0">
      <alignment horizontal="general" vertical="bottom"/>
    </xf>
    <xf numFmtId="0" fontId="7" fillId="3" borderId="1"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4" borderId="2" applyAlignment="1" pivotButton="0" quotePrefix="0" xfId="0">
      <alignment horizontal="center" vertical="center" wrapText="1"/>
    </xf>
    <xf numFmtId="0" fontId="0" fillId="0" borderId="2" applyAlignment="1" pivotButton="0" quotePrefix="0" xfId="0">
      <alignment horizontal="center" vertical="top" wrapText="1"/>
    </xf>
    <xf numFmtId="0" fontId="0" fillId="0" borderId="2" applyAlignment="1" pivotButton="0" quotePrefix="0" xfId="0">
      <alignment horizontal="general" vertical="top" wrapText="1"/>
    </xf>
    <xf numFmtId="0" fontId="6" fillId="0" borderId="2" applyAlignment="1" pivotButton="0" quotePrefix="0" xfId="0">
      <alignment horizontal="general" vertical="bottom"/>
    </xf>
    <xf numFmtId="0" fontId="0" fillId="0" borderId="2" applyAlignment="1" pivotButton="0" quotePrefix="0" xfId="0">
      <alignment horizontal="general" vertical="bottom"/>
    </xf>
    <xf numFmtId="0" fontId="6" fillId="0" borderId="2" applyAlignment="1" pivotButton="0" quotePrefix="0" xfId="0">
      <alignment horizontal="center" vertical="top" wrapText="1"/>
    </xf>
    <xf numFmtId="0" fontId="7" fillId="3"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FFFFFF"/>
          <bgColor rgb="FF000000"/>
        </patternFill>
      </fill>
    </dxf>
    <dxf>
      <fill>
        <patternFill patternType="solid">
          <fgColor rgb="FF000000"/>
          <bgColor rgb="FF000000"/>
        </patternFill>
      </fill>
    </dxf>
    <dxf>
      <fill>
        <patternFill patternType="solid">
          <fgColor rgb="FF1F497D"/>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1">
    <outlinePr summaryBelow="1" summaryRight="1"/>
    <pageSetUpPr fitToPage="1"/>
  </sheetPr>
  <dimension ref="A1:Z1000"/>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4.43359375" defaultRowHeight="15" zeroHeight="0" outlineLevelRow="0"/>
  <cols>
    <col width="1.43" customWidth="1" style="19" min="1" max="1"/>
    <col width="16.43" customWidth="1" style="19" min="2" max="2"/>
    <col width="78" customWidth="1" style="19" min="3" max="3"/>
    <col width="30" customWidth="1" style="19" min="4" max="4"/>
    <col width="14" customWidth="1" style="19" min="5" max="5"/>
    <col width="13" customWidth="1" style="19" min="6" max="7"/>
    <col width="11" customWidth="1" style="19" min="8" max="8"/>
    <col width="75" customWidth="1" style="19" min="9" max="9"/>
    <col width="70" customWidth="1" style="19" min="10" max="26"/>
  </cols>
  <sheetData>
    <row r="1" ht="36" customHeight="1" s="20">
      <c r="A1" s="21" t="n"/>
      <c r="B1" s="22" t="inlineStr">
        <is>
          <t>Desarrollo ágil: Pila de Producto (Product Backlog)</t>
        </is>
      </c>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idden="1" ht="21" customHeight="1" s="20">
      <c r="A2" s="21" t="n"/>
      <c r="B2" s="23" t="inlineStr">
        <is>
          <t>Elaborado por: pmoinformatica.com</t>
        </is>
      </c>
      <c r="C2" s="21" t="n"/>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idden="1" ht="15" customHeight="1" s="20">
      <c r="A3" s="21" t="n"/>
      <c r="B3" s="24" t="inlineStr">
        <is>
          <t>Proyecto: Plataforma Cosmopolitan (Capstone) · Cliente: Agencia Cosmopolitan · Equipo: Esteban Morales, Christian Cuadra y Felipe Gutiérrez</t>
        </is>
      </c>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idden="1" ht="30" customHeight="1" s="20">
      <c r="A4" s="21" t="n"/>
      <c r="B4" s="25" t="inlineStr">
        <is>
          <t>Identificador (ID) de la Historia</t>
        </is>
      </c>
      <c r="C4" s="25" t="inlineStr">
        <is>
          <t>Enunciado de la Historia</t>
        </is>
      </c>
      <c r="D4" s="25" t="inlineStr">
        <is>
          <t>Alias</t>
        </is>
      </c>
      <c r="E4" s="25" t="inlineStr">
        <is>
          <t>Estado</t>
        </is>
      </c>
      <c r="F4" s="25" t="inlineStr">
        <is>
          <t>Dimensión / Esfuerzo</t>
        </is>
      </c>
      <c r="G4" s="25" t="inlineStr">
        <is>
          <t>Iteración (Sprint)</t>
        </is>
      </c>
      <c r="H4" s="25" t="inlineStr">
        <is>
          <t>Prioridad</t>
        </is>
      </c>
      <c r="I4" s="25" t="inlineStr">
        <is>
          <t>Comentarios</t>
        </is>
      </c>
      <c r="J4" s="25" t="inlineStr">
        <is>
          <t>Criterios de aceptación</t>
        </is>
      </c>
      <c r="K4" s="25" t="inlineStr">
        <is>
          <t>Casos de prueba</t>
        </is>
      </c>
      <c r="L4" s="21" t="n"/>
      <c r="M4" s="21" t="n"/>
      <c r="N4" s="21" t="n"/>
      <c r="O4" s="21" t="n"/>
      <c r="P4" s="21" t="n"/>
      <c r="Q4" s="21" t="n"/>
      <c r="R4" s="21" t="n"/>
      <c r="S4" s="21" t="n"/>
      <c r="T4" s="21" t="n"/>
      <c r="U4" s="21" t="n"/>
      <c r="V4" s="21" t="n"/>
      <c r="W4" s="21" t="n"/>
      <c r="X4" s="21" t="n"/>
      <c r="Y4" s="21" t="n"/>
      <c r="Z4" s="21" t="n"/>
    </row>
    <row r="5" hidden="1" ht="63" customHeight="1" s="20">
      <c r="A5" s="21" t="n"/>
      <c r="B5" s="26" t="inlineStr">
        <is>
          <t>PC-TEC-01</t>
        </is>
      </c>
      <c r="C5" s="26" t="inlineStr">
        <is>
          <t>Como equipo de desarrollo, necesito un repositorio versionado y un entorno reproducible mediante contenedores, con la finalidad de trabajar de forma ordenada y que cualquier integrante pueda levantar el proyecto de la misma forma.</t>
        </is>
      </c>
      <c r="D5" s="26" t="inlineStr">
        <is>
          <t>Repositorio y entorno base</t>
        </is>
      </c>
      <c r="E5" s="26" t="inlineStr">
        <is>
          <t>Hecho</t>
        </is>
      </c>
      <c r="F5" s="27" t="n">
        <v>3</v>
      </c>
      <c r="G5" s="26" t="inlineStr">
        <is>
          <t>Sprint 0</t>
        </is>
      </c>
      <c r="H5" s="26" t="inlineStr">
        <is>
          <t>Alta</t>
        </is>
      </c>
      <c r="I5" s="26" t="inlineStr">
        <is>
          <t>T · Habilitadora · Deja listo el repositorio y un entorno con contenedores para que los tres integrantes trabajen de la misma forma. Corresponde a la actividad de configuración inicial de la Carta Gantt (Sprint 0).</t>
        </is>
      </c>
      <c r="J5" s="26" t="inlineStr">
        <is>
          <t>1. El repositorio tiene ramas definidas y README con instrucciones de instalación.
2. Cualquier integrante levanta el proyecto con contenedores siguiendo el README, sin pasos manuales adicionales.
3. No hay credenciales ni claves versionadas en el repositorio.</t>
        </is>
      </c>
      <c r="K5" s="27" t="inlineStr">
        <is>
          <t>—</t>
        </is>
      </c>
      <c r="L5" s="21" t="n"/>
      <c r="M5" s="21" t="n"/>
      <c r="N5" s="21" t="n"/>
      <c r="O5" s="21" t="n"/>
      <c r="P5" s="21" t="n"/>
      <c r="Q5" s="21" t="n"/>
      <c r="R5" s="21" t="n"/>
      <c r="S5" s="21" t="n"/>
      <c r="T5" s="21" t="n"/>
      <c r="U5" s="21" t="n"/>
      <c r="V5" s="21" t="n"/>
      <c r="W5" s="21" t="n"/>
      <c r="X5" s="21" t="n"/>
      <c r="Y5" s="21" t="n"/>
      <c r="Z5" s="21" t="n"/>
    </row>
    <row r="6" ht="63" customHeight="1" s="20">
      <c r="A6" s="21" t="n"/>
      <c r="B6" s="26" t="inlineStr">
        <is>
          <t>PC-AUT-01</t>
        </is>
      </c>
      <c r="C6" s="26" t="inlineStr">
        <is>
          <t>Como usuario registrado (administradora, colaboradora o cliente), necesito iniciar y cerrar sesión con mis credenciales, con la finalidad de acceder de forma segura solo a lo que me corresponde.</t>
        </is>
      </c>
      <c r="D6" s="26" t="inlineStr">
        <is>
          <t>Inicio y cierre de sesión</t>
        </is>
      </c>
      <c r="E6" s="26" t="inlineStr">
        <is>
          <t>Hecho</t>
        </is>
      </c>
      <c r="F6" s="27" t="n">
        <v>3</v>
      </c>
      <c r="G6" s="26" t="inlineStr">
        <is>
          <t>Sprint 1</t>
        </is>
      </c>
      <c r="H6" s="26" t="inlineStr">
        <is>
          <t>Alta</t>
        </is>
      </c>
      <c r="I6" s="26" t="inlineStr">
        <is>
          <t>T · Obj. 1 · Inicio y cierre de sesión con Firebase Authentication (ver Documento de arquitectura). Es la base de todas las historias: sin sesión no hay roles ni aislamiento. Se prueba con CP-011, CP-012 y CP-017.</t>
        </is>
      </c>
      <c r="J6" s="26" t="inlineStr">
        <is>
          <t>1. Con credenciales válidas, el usuario accede al panel que corresponde a su rol.
2. Con credenciales inválidas se niega el acceso sin indicar si falló el correo o la contraseña.
3. Al cerrar sesión, la sesión queda invalidada y no se puede volver con el botón atrás.
4. La sesión expira tras un período de inactividad.</t>
        </is>
      </c>
      <c r="K6" s="27" t="inlineStr">
        <is>
          <t>CP-011, CP-012, CP-013, CP-014, CP-015, CP-017, CP-018</t>
        </is>
      </c>
      <c r="L6" s="21" t="n"/>
      <c r="M6" s="21" t="n"/>
      <c r="N6" s="21" t="n"/>
      <c r="O6" s="21" t="n"/>
      <c r="P6" s="21" t="n"/>
      <c r="Q6" s="21" t="n"/>
      <c r="R6" s="21" t="n"/>
      <c r="S6" s="21" t="n"/>
      <c r="T6" s="21" t="n"/>
      <c r="U6" s="21" t="n"/>
      <c r="V6" s="21" t="n"/>
      <c r="W6" s="21" t="n"/>
      <c r="X6" s="21" t="n"/>
      <c r="Y6" s="21" t="n"/>
      <c r="Z6" s="21" t="n"/>
    </row>
    <row r="7" ht="48" customHeight="1" s="20">
      <c r="A7" s="21" t="n"/>
      <c r="B7" s="26" t="inlineStr">
        <is>
          <t>PC-AUT-02</t>
        </is>
      </c>
      <c r="C7" s="26" t="inlineStr">
        <is>
          <t>Como administradora, necesito activar la verificación en dos pasos (2FA) en mi cuenta, con la finalidad de proteger el acceso a la gestión completa de la agencia.</t>
        </is>
      </c>
      <c r="D7" s="26" t="inlineStr">
        <is>
          <t>2FA para administradoras</t>
        </is>
      </c>
      <c r="E7" s="26" t="inlineStr">
        <is>
          <t>Hecho</t>
        </is>
      </c>
      <c r="F7" s="27" t="n">
        <v>3</v>
      </c>
      <c r="G7" s="26" t="inlineStr">
        <is>
          <t>Sprint 1</t>
        </is>
      </c>
      <c r="H7" s="26" t="inlineStr">
        <is>
          <t>Alta</t>
        </is>
      </c>
      <c r="I7" s="26" t="inlineStr">
        <is>
          <t>E1 · Obj. 1 · Protege las cuentas con más poder (administradoras) con un segundo factor además de la contraseña. Ver RNF-01 en la Especificación de requerimientos. Se prueba con CP-016.</t>
        </is>
      </c>
      <c r="J7" s="26" t="inlineStr">
        <is>
          <t>1. La administradora puede activar el segundo factor desde su cuenta.
2. Con 2FA activo, no se accede solo con la contraseña.
3. Un código incorrecto o vencido niega el acceso.</t>
        </is>
      </c>
      <c r="K7" s="27" t="inlineStr">
        <is>
          <t>CP-016</t>
        </is>
      </c>
      <c r="L7" s="21" t="n"/>
      <c r="M7" s="21" t="n"/>
      <c r="N7" s="21" t="n"/>
      <c r="O7" s="21" t="n"/>
      <c r="P7" s="21" t="n"/>
      <c r="Q7" s="21" t="n"/>
      <c r="R7" s="21" t="n"/>
      <c r="S7" s="21" t="n"/>
      <c r="T7" s="21" t="n"/>
      <c r="U7" s="21" t="n"/>
      <c r="V7" s="21" t="n"/>
      <c r="W7" s="21" t="n"/>
      <c r="X7" s="21" t="n"/>
      <c r="Y7" s="21" t="n"/>
      <c r="Z7" s="21" t="n"/>
    </row>
    <row r="8" ht="63" customHeight="1" s="20">
      <c r="A8" s="21" t="n"/>
      <c r="B8" s="26" t="inlineStr">
        <is>
          <t>PC-AUT-03</t>
        </is>
      </c>
      <c r="C8" s="26" t="inlineStr">
        <is>
          <t>Como administradora, necesito crear y gestionar usuarios asignándoles un rol (administradora, colaboradora, cliente aprobador o cliente lector), con la finalidad de controlar quién puede ver y hacer qué dentro de la plataforma.</t>
        </is>
      </c>
      <c r="D8" s="26" t="inlineStr">
        <is>
          <t>Gestión de usuarios y roles</t>
        </is>
      </c>
      <c r="E8" s="26" t="inlineStr">
        <is>
          <t>Hecho</t>
        </is>
      </c>
      <c r="F8" s="27" t="n">
        <v>5</v>
      </c>
      <c r="G8" s="26" t="inlineStr">
        <is>
          <t>Sprint 1</t>
        </is>
      </c>
      <c r="H8" s="26" t="inlineStr">
        <is>
          <t>Alta</t>
        </is>
      </c>
      <c r="I8" s="26" t="inlineStr">
        <is>
          <t>E1 · Obj. 1 · Permite a la administradora dar de alta usuarios con su rol. Los roles definidos aquí determinan qué puede ver y hacer cada usuario en el resto de la plataforma.</t>
        </is>
      </c>
      <c r="J8" s="26" t="inlineStr">
        <is>
          <t>1. La administradora crea usuarios asignando uno de los cuatro roles.
2. Puede editar el rol o desactivar un usuario; un usuario desactivado no puede iniciar sesión.
3. Solo la administradora accede a la gestión de usuarios.</t>
        </is>
      </c>
      <c r="K8" s="27" t="inlineStr">
        <is>
          <t>CP-019</t>
        </is>
      </c>
      <c r="L8" s="21" t="n"/>
      <c r="M8" s="21" t="n"/>
      <c r="N8" s="21" t="n"/>
      <c r="O8" s="21" t="n"/>
      <c r="P8" s="21" t="n"/>
      <c r="Q8" s="21" t="n"/>
      <c r="R8" s="21" t="n"/>
      <c r="S8" s="21" t="n"/>
      <c r="T8" s="21" t="n"/>
      <c r="U8" s="21" t="n"/>
      <c r="V8" s="21" t="n"/>
      <c r="W8" s="21" t="n"/>
      <c r="X8" s="21" t="n"/>
      <c r="Y8" s="21" t="n"/>
      <c r="Z8" s="21" t="n"/>
    </row>
    <row r="9" ht="63" customHeight="1" s="20">
      <c r="A9" s="21" t="n"/>
      <c r="B9" s="26" t="inlineStr">
        <is>
          <t>PC-AUT-04</t>
        </is>
      </c>
      <c r="C9" s="26" t="inlineStr">
        <is>
          <t>Como colaboradora, necesito acceder únicamente a la información de los clientes que me fueron asignados, con la finalidad de trabajar sin exponer datos de otros clientes.</t>
        </is>
      </c>
      <c r="D9" s="26" t="inlineStr">
        <is>
          <t>Colaboradora solo ve sus clientes</t>
        </is>
      </c>
      <c r="E9" s="26" t="inlineStr">
        <is>
          <t>Hecho</t>
        </is>
      </c>
      <c r="F9" s="27" t="n">
        <v>8</v>
      </c>
      <c r="G9" s="26" t="inlineStr">
        <is>
          <t>Sprint 2</t>
        </is>
      </c>
      <c r="H9" s="26" t="inlineStr">
        <is>
          <t>Alta</t>
        </is>
      </c>
      <c r="I9" s="26" t="inlineStr">
        <is>
          <t>E2 · Obj. 1 · Una colaboradora solo trabaja con los clientes que le asignan; los demás deben quedar invisibles para ella. En el Sprint 1 el cliente es un registro mínimo (nombre); la ficha completa llega con PC-CLI-02 (Sprint 2).</t>
        </is>
      </c>
      <c r="J9" s="26" t="inlineStr">
        <is>
          <t>1. La colaboradora solo ve en listas y búsquedas los clientes que tiene asignados.
2. Si intenta abrir un cliente no asignado (por URL o API), el sistema niega el acceso.
3. Al quitarle un cliente, deja de verlo de inmediato.</t>
        </is>
      </c>
      <c r="K9" s="27" t="inlineStr">
        <is>
          <t>CP-020, CP-021</t>
        </is>
      </c>
      <c r="L9" s="21" t="n"/>
      <c r="M9" s="21" t="n"/>
      <c r="N9" s="21" t="n"/>
      <c r="O9" s="21" t="n"/>
      <c r="P9" s="21" t="n"/>
      <c r="Q9" s="21" t="n"/>
      <c r="R9" s="21" t="n"/>
      <c r="S9" s="21" t="n"/>
      <c r="T9" s="21" t="n"/>
      <c r="U9" s="21" t="n"/>
      <c r="V9" s="21" t="n"/>
      <c r="W9" s="21" t="n"/>
      <c r="X9" s="21" t="n"/>
      <c r="Y9" s="21" t="n"/>
      <c r="Z9" s="21" t="n"/>
    </row>
    <row r="10" ht="63" customHeight="1" s="20">
      <c r="A10" s="21" t="n"/>
      <c r="B10" s="26" t="inlineStr">
        <is>
          <t>PC-AUT-05</t>
        </is>
      </c>
      <c r="C10" s="26" t="inlineStr">
        <is>
          <t>Como cliente (aprobador o lector), necesito ver únicamente la información de mi empresa, con la finalidad de tener certeza de que mis datos no son visibles para otros clientes.</t>
        </is>
      </c>
      <c r="D10" s="26" t="inlineStr">
        <is>
          <t>Cliente solo ve su empresa</t>
        </is>
      </c>
      <c r="E10" s="26" t="inlineStr">
        <is>
          <t>Hecho</t>
        </is>
      </c>
      <c r="F10" s="27" t="n">
        <v>8</v>
      </c>
      <c r="G10" s="26" t="inlineStr">
        <is>
          <t>Sprint 2</t>
        </is>
      </c>
      <c r="H10" s="26" t="inlineStr">
        <is>
          <t>Alta</t>
        </is>
      </c>
      <c r="I10" s="26" t="inlineStr">
        <is>
          <t>E3 (y E4) · Obj. 1 y 9 · Es el requisito más crítico del proyecto: ningún cliente puede ver datos de otro. El filtro se aplica en la capa intermedia (API) y no en la pantalla. Se prueba con PC-TEC-04 (CP-020 y CP-021).</t>
        </is>
      </c>
      <c r="J10" s="26" t="inlineStr">
        <is>
          <t>1. El cliente solo ve información de su propia empresa en todas las pantallas.
2. Cambiar el identificador en la URL o en la API devuelve acceso denegado.
3. El filtro por empresa se aplica en la API, no solo en la interfaz.</t>
        </is>
      </c>
      <c r="K10" s="27" t="inlineStr">
        <is>
          <t>CP-019, CP-020, CP-021</t>
        </is>
      </c>
      <c r="L10" s="21" t="n"/>
      <c r="M10" s="21" t="n"/>
      <c r="N10" s="21" t="n"/>
      <c r="O10" s="21" t="n"/>
      <c r="P10" s="21" t="n"/>
      <c r="Q10" s="21" t="n"/>
      <c r="R10" s="21" t="n"/>
      <c r="S10" s="21" t="n"/>
      <c r="T10" s="21" t="n"/>
      <c r="U10" s="21" t="n"/>
      <c r="V10" s="21" t="n"/>
      <c r="W10" s="21" t="n"/>
      <c r="X10" s="21" t="n"/>
      <c r="Y10" s="21" t="n"/>
      <c r="Z10" s="21" t="n"/>
    </row>
    <row r="11" ht="48" customHeight="1" s="20">
      <c r="A11" s="21" t="n"/>
      <c r="B11" s="26" t="inlineStr">
        <is>
          <t>PC-AUT-06</t>
        </is>
      </c>
      <c r="C11" s="26" t="inlineStr">
        <is>
          <t>Como administradora, necesito que las acciones sensibles queden registradas (quién, qué, sobre qué y cuándo), con la finalidad de tener trazabilidad de los cambios realizados en la plataforma.</t>
        </is>
      </c>
      <c r="D11" s="26" t="inlineStr">
        <is>
          <t>Log de auditoría</t>
        </is>
      </c>
      <c r="E11" s="26" t="inlineStr">
        <is>
          <t>Hecho</t>
        </is>
      </c>
      <c r="F11" s="27" t="n">
        <v>5</v>
      </c>
      <c r="G11" s="26" t="inlineStr">
        <is>
          <t>Sprint 1</t>
        </is>
      </c>
      <c r="H11" s="26" t="inlineStr">
        <is>
          <t>Media</t>
        </is>
      </c>
      <c r="I11" s="26" t="inlineStr">
        <is>
          <t>E1 · Obj. 1 · Deja un registro de quién hizo qué y cuándo en las acciones sensibles (usuarios, roles y cambios de catálogo). Responde al riesgo R-38 de la Planilla de riesgos. Se prueba con CP-022.</t>
        </is>
      </c>
      <c r="J11" s="26" t="inlineStr">
        <is>
          <t>1. Las acciones sensibles (usuarios, roles, catálogo) quedan registradas con quién, qué, sobre qué y cuándo.
2. El registro no puede editarse ni borrarse desde la plataforma.
3. La administradora puede consultar el registro filtrando por usuario o fecha.</t>
        </is>
      </c>
      <c r="K11" s="27" t="inlineStr">
        <is>
          <t>CP-022</t>
        </is>
      </c>
      <c r="L11" s="21" t="n"/>
      <c r="M11" s="21" t="n"/>
      <c r="N11" s="21" t="n"/>
      <c r="O11" s="21" t="n"/>
      <c r="P11" s="21" t="n"/>
      <c r="Q11" s="21" t="n"/>
      <c r="R11" s="21" t="n"/>
      <c r="S11" s="21" t="n"/>
      <c r="T11" s="21" t="n"/>
      <c r="U11" s="21" t="n"/>
      <c r="V11" s="21" t="n"/>
      <c r="W11" s="21" t="n"/>
      <c r="X11" s="21" t="n"/>
      <c r="Y11" s="21" t="n"/>
      <c r="Z11" s="21" t="n"/>
    </row>
    <row r="12" ht="63" customHeight="1" s="20">
      <c r="A12" s="21" t="n"/>
      <c r="B12" s="26" t="inlineStr">
        <is>
          <t>PC-CAT-01</t>
        </is>
      </c>
      <c r="C12" s="26" t="inlineStr">
        <is>
          <t>Como administradora, necesito crear, editar y desactivar los planes mensuales con sus entregables incluidos, con la finalidad de mantener el catálogo actualizado sin depender de un desarrollador.</t>
        </is>
      </c>
      <c r="D12" s="26" t="inlineStr">
        <is>
          <t>Catálogo de planes</t>
        </is>
      </c>
      <c r="E12" s="26" t="inlineStr">
        <is>
          <t>Hecho</t>
        </is>
      </c>
      <c r="F12" s="27" t="n">
        <v>5</v>
      </c>
      <c r="G12" s="26" t="inlineStr">
        <is>
          <t>Sprint 1</t>
        </is>
      </c>
      <c r="H12" s="26" t="inlineStr">
        <is>
          <t>Alta</t>
        </is>
      </c>
      <c r="I12" s="26" t="inlineStr">
        <is>
          <t>E1 · Obj. 3 · Permite crear y editar los planes mensuales sin pedir cambios al equipo de desarrollo. Los planes del catálogo alimentan el sitio público, el cotizador (Sprint 2) y el control de cuota (Sprint 3).</t>
        </is>
      </c>
      <c r="J12" s="26" t="inlineStr">
        <is>
          <t>1. La administradora crea, edita y desactiva planes con nombre, precio y entregables incluidos.
2. Un plan desactivado deja de mostrarse en el sitio y en el cotizador, pero se conserva en los clientes que ya lo tienen.
3. Los cambios quedan en el registro de auditoría.</t>
        </is>
      </c>
      <c r="K12" s="27" t="inlineStr">
        <is>
          <t>—</t>
        </is>
      </c>
      <c r="L12" s="21" t="n"/>
      <c r="M12" s="21" t="n"/>
      <c r="N12" s="21" t="n"/>
      <c r="O12" s="21" t="n"/>
      <c r="P12" s="21" t="n"/>
      <c r="Q12" s="21" t="n"/>
      <c r="R12" s="21" t="n"/>
      <c r="S12" s="21" t="n"/>
      <c r="T12" s="21" t="n"/>
      <c r="U12" s="21" t="n"/>
      <c r="V12" s="21" t="n"/>
      <c r="W12" s="21" t="n"/>
      <c r="X12" s="21" t="n"/>
      <c r="Y12" s="21" t="n"/>
      <c r="Z12" s="21" t="n"/>
    </row>
    <row r="13" ht="48" customHeight="1" s="20">
      <c r="A13" s="21" t="n"/>
      <c r="B13" s="26" t="inlineStr">
        <is>
          <t>PC-CAT-02</t>
        </is>
      </c>
      <c r="C13" s="26" t="inlineStr">
        <is>
          <t>Como administradora, necesito crear, editar y desactivar los servicios que se contratan por separado, con la finalidad de ofrecerlos en el sitio y en las cotizaciones sin intervención en código.</t>
        </is>
      </c>
      <c r="D13" s="26" t="inlineStr">
        <is>
          <t>Catálogo de servicios</t>
        </is>
      </c>
      <c r="E13" s="26" t="inlineStr">
        <is>
          <t>Hecho</t>
        </is>
      </c>
      <c r="F13" s="27" t="n">
        <v>3</v>
      </c>
      <c r="G13" s="26" t="inlineStr">
        <is>
          <t>Sprint 1</t>
        </is>
      </c>
      <c r="H13" s="26" t="inlineStr">
        <is>
          <t>Media</t>
        </is>
      </c>
      <c r="I13" s="26" t="inlineStr">
        <is>
          <t>E1 · Obj. 3 · Igual que los planes, pero para los servicios que se contratan por separado (por ejemplo, gestión de pauta o landing). Se muestran en el sitio y se pueden agregar a una cotización.</t>
        </is>
      </c>
      <c r="J13" s="26" t="inlineStr">
        <is>
          <t>1. La administradora crea, edita y desactiva servicios con nombre y precio.
2. Los servicios activos se muestran en el sitio y pueden agregarse a una cotización.
3. Un servicio desactivado deja de ofrecerse sin afectar cotizaciones anteriores.</t>
        </is>
      </c>
      <c r="K13" s="27" t="inlineStr">
        <is>
          <t>—</t>
        </is>
      </c>
      <c r="L13" s="21" t="n"/>
      <c r="M13" s="21" t="n"/>
      <c r="N13" s="21" t="n"/>
      <c r="O13" s="21" t="n"/>
      <c r="P13" s="21" t="n"/>
      <c r="Q13" s="21" t="n"/>
      <c r="R13" s="21" t="n"/>
      <c r="S13" s="21" t="n"/>
      <c r="T13" s="21" t="n"/>
      <c r="U13" s="21" t="n"/>
      <c r="V13" s="21" t="n"/>
      <c r="W13" s="21" t="n"/>
      <c r="X13" s="21" t="n"/>
      <c r="Y13" s="21" t="n"/>
      <c r="Z13" s="21" t="n"/>
    </row>
    <row r="14" ht="48" customHeight="1" s="20">
      <c r="A14" s="21" t="n"/>
      <c r="B14" s="26" t="inlineStr">
        <is>
          <t>PC-WEB-01</t>
        </is>
      </c>
      <c r="C14" s="26" t="inlineStr">
        <is>
          <t>Como visitante, necesito conocer los planes y servicios de la agencia en su sitio público, con la finalidad de decidir si quiero contratarla.</t>
        </is>
      </c>
      <c r="D14" s="26" t="inlineStr">
        <is>
          <t>Sitio muestra planes y servicios</t>
        </is>
      </c>
      <c r="E14" s="26" t="inlineStr">
        <is>
          <t>Hecho</t>
        </is>
      </c>
      <c r="F14" s="27" t="n">
        <v>5</v>
      </c>
      <c r="G14" s="26" t="inlineStr">
        <is>
          <t>Sprint 1</t>
        </is>
      </c>
      <c r="H14" s="26" t="inlineStr">
        <is>
          <t>Alta</t>
        </is>
      </c>
      <c r="I14" s="26" t="inlineStr">
        <is>
          <t>E5 · Obj. 2 (indirecto) · Vista pública de los planes y servicios del catálogo: si la administradora cambia el catálogo, el sitio se actualiza solo. Es parte de la Fase 1 (sitio corporativo).</t>
        </is>
      </c>
      <c r="J14" s="26" t="inlineStr">
        <is>
          <t>1. El sitio muestra los planes y servicios activos del catálogo.
2. Un cambio en el catálogo se refleja en el sitio sin modificar código.
3. La página carga sin errores ni enlaces rotos.</t>
        </is>
      </c>
      <c r="K14" s="27" t="inlineStr">
        <is>
          <t>CP-001</t>
        </is>
      </c>
      <c r="L14" s="21" t="n"/>
      <c r="M14" s="21" t="n"/>
      <c r="N14" s="21" t="n"/>
      <c r="O14" s="21" t="n"/>
      <c r="P14" s="21" t="n"/>
      <c r="Q14" s="21" t="n"/>
      <c r="R14" s="21" t="n"/>
      <c r="S14" s="21" t="n"/>
      <c r="T14" s="21" t="n"/>
      <c r="U14" s="21" t="n"/>
      <c r="V14" s="21" t="n"/>
      <c r="W14" s="21" t="n"/>
      <c r="X14" s="21" t="n"/>
      <c r="Y14" s="21" t="n"/>
      <c r="Z14" s="21" t="n"/>
    </row>
    <row r="15" ht="48" customHeight="1" s="20">
      <c r="A15" s="21" t="n"/>
      <c r="B15" s="26" t="inlineStr">
        <is>
          <t>PC-WEB-02</t>
        </is>
      </c>
      <c r="C15" s="26" t="inlineStr">
        <is>
          <t>Como administradora, necesito editar los contenidos del sitio (textos, imágenes y secciones) desde un CMS, con la finalidad de mantener el sitio actualizado sin tocar código.</t>
        </is>
      </c>
      <c r="D15" s="26" t="inlineStr">
        <is>
          <t>CMS del sitio</t>
        </is>
      </c>
      <c r="E15" s="26" t="inlineStr">
        <is>
          <t>Hecho</t>
        </is>
      </c>
      <c r="F15" s="27" t="n">
        <v>8</v>
      </c>
      <c r="G15" s="26" t="inlineStr">
        <is>
          <t>Sprint 1</t>
        </is>
      </c>
      <c r="H15" s="26" t="inlineStr">
        <is>
          <t>Alta</t>
        </is>
      </c>
      <c r="I15" s="26" t="inlineStr">
        <is>
          <t>E1 · Obj. 2 (indirecto) · CMS: la administradora edita textos, imágenes y secciones del sitio sin tocar código. Se prueba con CP-005 y CP-006; el acceso sin sesión, con CP-007.</t>
        </is>
      </c>
      <c r="J15" s="26" t="inlineStr">
        <is>
          <t>1. La administradora crea, edita, publica y despublica contenidos del sitio desde el CMS.
2. Un borrador no se ve en el sitio público hasta que se publica.
3. El CMS no es accesible sin sesión y el contenido ingresado se guarda sanitizado.</t>
        </is>
      </c>
      <c r="K15" s="27" t="inlineStr">
        <is>
          <t>CP-005, CP-006, CP-007, CP-008</t>
        </is>
      </c>
      <c r="L15" s="21" t="n"/>
      <c r="M15" s="21" t="n"/>
      <c r="N15" s="21" t="n"/>
      <c r="O15" s="21" t="n"/>
      <c r="P15" s="21" t="n"/>
      <c r="Q15" s="21" t="n"/>
      <c r="R15" s="21" t="n"/>
      <c r="S15" s="21" t="n"/>
      <c r="T15" s="21" t="n"/>
      <c r="U15" s="21" t="n"/>
      <c r="V15" s="21" t="n"/>
      <c r="W15" s="21" t="n"/>
      <c r="X15" s="21" t="n"/>
      <c r="Y15" s="21" t="n"/>
      <c r="Z15" s="21" t="n"/>
    </row>
    <row r="16" ht="48" customHeight="1" s="20">
      <c r="A16" s="21" t="n"/>
      <c r="B16" s="26" t="inlineStr">
        <is>
          <t>PC-WEB-03</t>
        </is>
      </c>
      <c r="C16" s="26" t="inlineStr">
        <is>
          <t>Como visitante, necesito navegar el sitio cómodamente desde mi celular y con teclado, con la finalidad de acceder a la información sin dificultades, sin importar el dispositivo.</t>
        </is>
      </c>
      <c r="D16" s="26" t="inlineStr">
        <is>
          <t>Sitio responsivo y accesible</t>
        </is>
      </c>
      <c r="E16" s="26" t="inlineStr">
        <is>
          <t>Hecho</t>
        </is>
      </c>
      <c r="F16" s="27" t="n">
        <v>3</v>
      </c>
      <c r="G16" s="26" t="inlineStr">
        <is>
          <t>Sprint 1</t>
        </is>
      </c>
      <c r="H16" s="26" t="inlineStr">
        <is>
          <t>Media</t>
        </is>
      </c>
      <c r="I16" s="26" t="inlineStr">
        <is>
          <t>E5 · RNF-04 · Que el sitio se vea y funcione bien en celular (desde 360 px), se pueda recorrer con teclado y respete el manual de marca. Se prueba con CP-010.</t>
        </is>
      </c>
      <c r="J16" s="26" t="inlineStr">
        <is>
          <t>1. El sitio se ve sin desbordes en pantallas de 360, 768 y 1440 px.
2. Todas las secciones se pueden recorrer con teclado.
3. Colores y tipografías respetan el manual de marca.</t>
        </is>
      </c>
      <c r="K16" s="27" t="inlineStr">
        <is>
          <t>CP-010</t>
        </is>
      </c>
      <c r="L16" s="21" t="n"/>
      <c r="M16" s="21" t="n"/>
      <c r="N16" s="21" t="n"/>
      <c r="O16" s="21" t="n"/>
      <c r="P16" s="21" t="n"/>
      <c r="Q16" s="21" t="n"/>
      <c r="R16" s="21" t="n"/>
      <c r="S16" s="21" t="n"/>
      <c r="T16" s="21" t="n"/>
      <c r="U16" s="21" t="n"/>
      <c r="V16" s="21" t="n"/>
      <c r="W16" s="21" t="n"/>
      <c r="X16" s="21" t="n"/>
      <c r="Y16" s="21" t="n"/>
      <c r="Z16" s="21" t="n"/>
    </row>
    <row r="17" ht="48" customHeight="1" s="20">
      <c r="A17" s="21" t="n"/>
      <c r="B17" s="26" t="inlineStr">
        <is>
          <t>PC-SEO-01</t>
        </is>
      </c>
      <c r="C17" s="26" t="inlineStr">
        <is>
          <t>Como administradora, necesito que el sitio tenga URLs amigables, sitemap, metadatos y datos estructurados, con la finalidad de aparecer mejor posicionada en los buscadores.</t>
        </is>
      </c>
      <c r="D17" s="26" t="inlineStr">
        <is>
          <t>SEO técnico</t>
        </is>
      </c>
      <c r="E17" s="26" t="inlineStr">
        <is>
          <t>Hecho</t>
        </is>
      </c>
      <c r="F17" s="27" t="n">
        <v>5</v>
      </c>
      <c r="G17" s="26" t="inlineStr">
        <is>
          <t>Sprint 1</t>
        </is>
      </c>
      <c r="H17" s="26" t="inlineStr">
        <is>
          <t>Media</t>
        </is>
      </c>
      <c r="I17" s="26" t="inlineStr">
        <is>
          <t>E1 · Obj. 2 (indirecto) · Prepara el sitio para aparecer en buscadores: URLs claras, sitemap, metadatos y velocidad de carga (Core Web Vitals). Se prueba con CP-009. Carta Gantt: semanas 7–8.</t>
        </is>
      </c>
      <c r="J17" s="26" t="inlineStr">
        <is>
          <t>1. Cada página tiene URL amigable, título y descripción propios.
2. El sitio publica sitemap.xml y datos estructurados válidos.
3. Los metadatos definidos en el CMS aparecen en el código publicado.</t>
        </is>
      </c>
      <c r="K17" s="27" t="inlineStr">
        <is>
          <t>CP-009</t>
        </is>
      </c>
      <c r="L17" s="21" t="n"/>
      <c r="M17" s="21" t="n"/>
      <c r="N17" s="21" t="n"/>
      <c r="O17" s="21" t="n"/>
      <c r="P17" s="21" t="n"/>
      <c r="Q17" s="21" t="n"/>
      <c r="R17" s="21" t="n"/>
      <c r="S17" s="21" t="n"/>
      <c r="T17" s="21" t="n"/>
      <c r="U17" s="21" t="n"/>
      <c r="V17" s="21" t="n"/>
      <c r="W17" s="21" t="n"/>
      <c r="X17" s="21" t="n"/>
      <c r="Y17" s="21" t="n"/>
      <c r="Z17" s="21" t="n"/>
    </row>
    <row r="18" ht="63" customHeight="1" s="20">
      <c r="A18" s="21" t="n"/>
      <c r="B18" s="26" t="inlineStr">
        <is>
          <t>PC-SEO-02</t>
        </is>
      </c>
      <c r="C18" s="26" t="inlineStr">
        <is>
          <t>Como administradora, necesito medir el tráfico y las conversiones del sitio (GA4, Search Console, Tag Manager, Meta Pixel y UTM) con consentimiento del visitante, con la finalidad de saber qué canales me traen prospectos.</t>
        </is>
      </c>
      <c r="D18" s="26" t="inlineStr">
        <is>
          <t>Analítica con consentimiento</t>
        </is>
      </c>
      <c r="E18" s="26" t="inlineStr">
        <is>
          <t>Hecho</t>
        </is>
      </c>
      <c r="F18" s="27" t="n">
        <v>5</v>
      </c>
      <c r="G18" s="26" t="inlineStr">
        <is>
          <t>Sprint 1</t>
        </is>
      </c>
      <c r="H18" s="26" t="inlineStr">
        <is>
          <t>Media</t>
        </is>
      </c>
      <c r="I18" s="26" t="inlineStr">
        <is>
          <t>E1 · Obj. 2 (indirecto) · Permite medir de dónde llegan las visitas y los prospectos (GA4, Search Console, Tag Manager, Meta Pixel y UTM), solo si el visitante acepta el consentimiento. Carta Gantt: semanas 7–8.</t>
        </is>
      </c>
      <c r="J18" s="26" t="inlineStr">
        <is>
          <t>1. Las herramientas de analítica solo se activan si el visitante acepta el consentimiento.
2. Las visitas y conversiones se registran en GA4 con su origen (UTM).
3. Si el visitante rechaza, no se cargan etiquetas de seguimiento.</t>
        </is>
      </c>
      <c r="K18" s="27" t="inlineStr">
        <is>
          <t>—</t>
        </is>
      </c>
      <c r="L18" s="21" t="n"/>
      <c r="M18" s="21" t="n"/>
      <c r="N18" s="21" t="n"/>
      <c r="O18" s="21" t="n"/>
      <c r="P18" s="21" t="n"/>
      <c r="Q18" s="21" t="n"/>
      <c r="R18" s="21" t="n"/>
      <c r="S18" s="21" t="n"/>
      <c r="T18" s="21" t="n"/>
      <c r="U18" s="21" t="n"/>
      <c r="V18" s="21" t="n"/>
      <c r="W18" s="21" t="n"/>
      <c r="X18" s="21" t="n"/>
      <c r="Y18" s="21" t="n"/>
      <c r="Z18" s="21" t="n"/>
    </row>
    <row r="19" ht="63" customHeight="1" s="20">
      <c r="A19" s="21" t="n"/>
      <c r="B19" s="26" t="inlineStr">
        <is>
          <t>PC-CAP-01</t>
        </is>
      </c>
      <c r="C19" s="26" t="inlineStr">
        <is>
          <t>Como visitante interesado, necesito dejar mis datos de contacto en un formulario del sitio, con la finalidad de que la agencia se comunique conmigo.</t>
        </is>
      </c>
      <c r="D19" s="26" t="inlineStr">
        <is>
          <t>Formulario de captación</t>
        </is>
      </c>
      <c r="E19" s="26" t="inlineStr">
        <is>
          <t>Hecho</t>
        </is>
      </c>
      <c r="F19" s="27" t="n">
        <v>5</v>
      </c>
      <c r="G19" s="26" t="inlineStr">
        <is>
          <t>Sprint 1</t>
        </is>
      </c>
      <c r="H19" s="26" t="inlineStr">
        <is>
          <t>Alta</t>
        </is>
      </c>
      <c r="I19" s="26" t="inlineStr">
        <is>
          <t>E5 · Obj. 2 · El visitante deja sus datos y se crea un prospecto en la base de datos, con su origen (UTM). En el Sprint 1 se verifica el registro; la lista y el kanban llegan con PC-PRO-01 (Sprint 2). Se prueba con CP-002 a CP-004.</t>
        </is>
      </c>
      <c r="J19" s="26" t="inlineStr">
        <is>
          <t>1. Con datos válidos, el visitante ve una confirmación y se crea un prospecto con su origen.
2. El formulario no se envía con campos obligatorios vacíos o correo inválido.
3. La agencia recibe una notificación del nuevo prospecto.</t>
        </is>
      </c>
      <c r="K19" s="27" t="inlineStr">
        <is>
          <t>CP-002, CP-003, CP-004</t>
        </is>
      </c>
      <c r="L19" s="21" t="n"/>
      <c r="M19" s="21" t="n"/>
      <c r="N19" s="21" t="n"/>
      <c r="O19" s="21" t="n"/>
      <c r="P19" s="21" t="n"/>
      <c r="Q19" s="21" t="n"/>
      <c r="R19" s="21" t="n"/>
      <c r="S19" s="21" t="n"/>
      <c r="T19" s="21" t="n"/>
      <c r="U19" s="21" t="n"/>
      <c r="V19" s="21" t="n"/>
      <c r="W19" s="21" t="n"/>
      <c r="X19" s="21" t="n"/>
      <c r="Y19" s="21" t="n"/>
      <c r="Z19" s="21" t="n"/>
    </row>
    <row r="20" ht="48" customHeight="1" s="20">
      <c r="A20" s="21" t="n"/>
      <c r="B20" s="26" t="inlineStr">
        <is>
          <t>PC-TEC-02</t>
        </is>
      </c>
      <c r="C20" s="26" t="inlineStr">
        <is>
          <t>Como equipo de desarrollo, necesito que las pruebas se ejecuten automáticamente en cada cambio del repositorio, con la finalidad de detectar errores antes de integrar y asegurar la calidad de cada incremento.</t>
        </is>
      </c>
      <c r="D20" s="26" t="inlineStr">
        <is>
          <t>Integración continua</t>
        </is>
      </c>
      <c r="E20" s="26" t="inlineStr">
        <is>
          <t>Hecho</t>
        </is>
      </c>
      <c r="F20" s="27" t="n">
        <v>5</v>
      </c>
      <c r="G20" s="26" t="inlineStr">
        <is>
          <t>Sprint 1</t>
        </is>
      </c>
      <c r="H20" s="26" t="inlineStr">
        <is>
          <t>Alta</t>
        </is>
      </c>
      <c r="I20" s="26" t="inlineStr">
        <is>
          <t>T · Habilitadora · Ejecuta las pruebas automáticamente en cada cambio y bloquea la integración si alguna falla. Es uno de los criterios del equipo para dar una historia por terminada (Definition of Done).</t>
        </is>
      </c>
      <c r="J20" s="26" t="inlineStr">
        <is>
          <t>1. Las pruebas se ejecutan automáticamente en cada cambio al repositorio.
2. Si una prueba falla, la integración queda bloqueada.
3. El resultado de cada ejecución es visible para todo el equipo.</t>
        </is>
      </c>
      <c r="K20" s="27" t="inlineStr">
        <is>
          <t>—</t>
        </is>
      </c>
      <c r="L20" s="21" t="n"/>
      <c r="M20" s="21" t="n"/>
      <c r="N20" s="21" t="n"/>
      <c r="O20" s="21" t="n"/>
      <c r="P20" s="21" t="n"/>
      <c r="Q20" s="21" t="n"/>
      <c r="R20" s="21" t="n"/>
      <c r="S20" s="21" t="n"/>
      <c r="T20" s="21" t="n"/>
      <c r="U20" s="21" t="n"/>
      <c r="V20" s="21" t="n"/>
      <c r="W20" s="21" t="n"/>
      <c r="X20" s="21" t="n"/>
      <c r="Y20" s="21" t="n"/>
      <c r="Z20" s="21" t="n"/>
    </row>
    <row r="21" ht="48" customHeight="1" s="20">
      <c r="A21" s="21" t="n"/>
      <c r="B21" s="26" t="inlineStr">
        <is>
          <t>PC-TEC-03</t>
        </is>
      </c>
      <c r="C21" s="26" t="inlineStr">
        <is>
          <t>Como equipo de desarrollo, necesito un ambiente de pruebas desplegado en Google Cloud Platform (Cloud Run y Cloud SQL), con la finalidad de validar cada historia con el Product Owner antes de darla por terminada.</t>
        </is>
      </c>
      <c r="D21" s="26" t="inlineStr">
        <is>
          <t>Ambiente de pruebas desplegado</t>
        </is>
      </c>
      <c r="E21" s="26" t="inlineStr">
        <is>
          <t>Planificada</t>
        </is>
      </c>
      <c r="F21" s="27" t="n">
        <v>5</v>
      </c>
      <c r="G21" s="26" t="inlineStr">
        <is>
          <t>Sprint 1</t>
        </is>
      </c>
      <c r="H21" s="26" t="inlineStr">
        <is>
          <t>Alta</t>
        </is>
      </c>
      <c r="I21" s="26" t="inlineStr">
        <is>
          <t>T · Habilitadora · Ambiente de pruebas en Google Cloud (Cloud Run y Cloud SQL), separado del de desarrollo, donde se valida cada historia con el Product Owner antes de darla por terminada.</t>
        </is>
      </c>
      <c r="J21" s="26" t="inlineStr">
        <is>
          <t>1. Existe un ambiente de pruebas en Cloud Run y Cloud SQL, separado del de desarrollo.
2. El despliegue al ambiente se hace desde el repositorio de forma repetible.
3. El ambiente tiene datos de prueba cargados para validar historias.</t>
        </is>
      </c>
      <c r="K21" s="27" t="inlineStr">
        <is>
          <t>—</t>
        </is>
      </c>
      <c r="L21" s="21" t="n"/>
      <c r="M21" s="21" t="n"/>
      <c r="N21" s="21" t="n"/>
      <c r="O21" s="21" t="n"/>
      <c r="P21" s="21" t="n"/>
      <c r="Q21" s="21" t="n"/>
      <c r="R21" s="21" t="n"/>
      <c r="S21" s="21" t="n"/>
      <c r="T21" s="21" t="n"/>
      <c r="U21" s="21" t="n"/>
      <c r="V21" s="21" t="n"/>
      <c r="W21" s="21" t="n"/>
      <c r="X21" s="21" t="n"/>
      <c r="Y21" s="21" t="n"/>
      <c r="Z21" s="21" t="n"/>
    </row>
    <row r="22" ht="63" customHeight="1" s="20">
      <c r="A22" s="21" t="n"/>
      <c r="B22" s="26" t="inlineStr">
        <is>
          <t>PC-TEC-04</t>
        </is>
      </c>
      <c r="C22" s="26" t="inlineStr">
        <is>
          <t>Como equipo de desarrollo, necesito una suite automatizada de pruebas de aislamiento entre clientes y de permisos por rol, con la finalidad de demostrar con evidencia que un cliente no puede acceder a datos de otro.</t>
        </is>
      </c>
      <c r="D22" s="26" t="inlineStr">
        <is>
          <t>Suite de pruebas de aislamiento</t>
        </is>
      </c>
      <c r="E22" s="26" t="inlineStr">
        <is>
          <t>Hecho</t>
        </is>
      </c>
      <c r="F22" s="27" t="n">
        <v>8</v>
      </c>
      <c r="G22" s="26" t="inlineStr">
        <is>
          <t>Sprint 2</t>
        </is>
      </c>
      <c r="H22" s="26" t="inlineStr">
        <is>
          <t>Alta</t>
        </is>
      </c>
      <c r="I22" s="26" t="inlineStr">
        <is>
          <t>T · Obj. 1 · Pruebas automáticas que intentan leer datos de otro cliente o ejecutar acciones fuera de rol; el resultado correcto es acceso denegado. Responde al riesgo R-32. Casos CP-020 y CP-021; se amplía con CP-039 (Sprint 3) y CP-053 (Sprint 4).</t>
        </is>
      </c>
      <c r="J22" s="26" t="inlineStr">
        <is>
          <t>1. La suite intenta leer datos de otro cliente y ejecutar acciones fuera de rol; todas resultan denegadas.
2. La suite se ejecuta automáticamente en la integración continua.
3. Ningún resultado de la suite muestra fuga de datos entre clientes.</t>
        </is>
      </c>
      <c r="K22" s="27" t="inlineStr">
        <is>
          <t>CP-020, CP-021</t>
        </is>
      </c>
      <c r="L22" s="21" t="n"/>
      <c r="M22" s="21" t="n"/>
      <c r="N22" s="21" t="n"/>
      <c r="O22" s="21" t="n"/>
      <c r="P22" s="21" t="n"/>
      <c r="Q22" s="21" t="n"/>
      <c r="R22" s="21" t="n"/>
      <c r="S22" s="21" t="n"/>
      <c r="T22" s="21" t="n"/>
      <c r="U22" s="21" t="n"/>
      <c r="V22" s="21" t="n"/>
      <c r="W22" s="21" t="n"/>
      <c r="X22" s="21" t="n"/>
      <c r="Y22" s="21" t="n"/>
      <c r="Z22" s="21" t="n"/>
    </row>
    <row r="23" hidden="1" ht="48" customHeight="1" s="20">
      <c r="A23" s="21" t="n"/>
      <c r="B23" s="26" t="inlineStr">
        <is>
          <t>PC-PRO-01</t>
        </is>
      </c>
      <c r="C23" s="26" t="inlineStr">
        <is>
          <t>Como administradora, necesito ver los prospectos en una lista y en un tablero kanban por etapa, con la finalidad de gestionar su avance comercial hasta convertirlos en clientes.</t>
        </is>
      </c>
      <c r="D23" s="26" t="inlineStr">
        <is>
          <t>Prospectos en lista y kanban</t>
        </is>
      </c>
      <c r="E23" s="26" t="inlineStr">
        <is>
          <t>Hecho</t>
        </is>
      </c>
      <c r="F23" s="27" t="n">
        <v>5</v>
      </c>
      <c r="G23" s="26" t="inlineStr">
        <is>
          <t>Sprint 2</t>
        </is>
      </c>
      <c r="H23" s="26" t="inlineStr">
        <is>
          <t>Alta</t>
        </is>
      </c>
      <c r="I23" s="26" t="inlineStr">
        <is>
          <t>E1 · Obj. 2 · Lista y tablero kanban de prospectos por etapa. Según el prototipo, las etapas son: nuevo contacto, diagnóstico agendado, cotización enviada, en negociación y cerrado ganado.</t>
        </is>
      </c>
      <c r="J23" s="26" t="inlineStr">
        <is>
          <t>1. Los prospectos se ven en lista y en kanban por etapa.
2. Al mover un prospecto de etapa, el cambio se guarda y se ve en ambas vistas.
3. Se puede buscar y filtrar por nombre, correo o etapa.</t>
        </is>
      </c>
      <c r="K23" s="27" t="inlineStr">
        <is>
          <t>CP-026, CP-028, CP-029, CP-037</t>
        </is>
      </c>
      <c r="L23" s="21" t="n"/>
      <c r="M23" s="21" t="n"/>
      <c r="N23" s="21" t="n"/>
      <c r="O23" s="21" t="n"/>
      <c r="P23" s="21" t="n"/>
      <c r="Q23" s="21" t="n"/>
      <c r="R23" s="21" t="n"/>
      <c r="S23" s="21" t="n"/>
      <c r="T23" s="21" t="n"/>
      <c r="U23" s="21" t="n"/>
      <c r="V23" s="21" t="n"/>
      <c r="W23" s="21" t="n"/>
      <c r="X23" s="21" t="n"/>
      <c r="Y23" s="21" t="n"/>
      <c r="Z23" s="21" t="n"/>
    </row>
    <row r="24" hidden="1" ht="48" customHeight="1" s="20">
      <c r="A24" s="21" t="n"/>
      <c r="B24" s="26" t="inlineStr">
        <is>
          <t>PC-PRO-02</t>
        </is>
      </c>
      <c r="C24" s="26" t="inlineStr">
        <is>
          <t>Como administradora, necesito registrar manualmente un prospecto que llegó por otro canal, con la finalidad de tener todos los contactos comerciales en un solo lugar.</t>
        </is>
      </c>
      <c r="D24" s="26" t="inlineStr">
        <is>
          <t>Registro manual de prospecto</t>
        </is>
      </c>
      <c r="E24" s="26" t="inlineStr">
        <is>
          <t>Hecho</t>
        </is>
      </c>
      <c r="F24" s="27" t="n">
        <v>2</v>
      </c>
      <c r="G24" s="26" t="inlineStr">
        <is>
          <t>Sprint 2</t>
        </is>
      </c>
      <c r="H24" s="26" t="inlineStr">
        <is>
          <t>Media</t>
        </is>
      </c>
      <c r="I24" s="26" t="inlineStr">
        <is>
          <t>E1 · Obj. 2 · Para contactos que llegan por recomendación, Instagram u otros canales y no por el formulario del sitio, de modo que todos queden en el mismo embudo.</t>
        </is>
      </c>
      <c r="J24" s="26" t="inlineStr">
        <is>
          <t>1. La administradora registra un prospecto con sus datos y canal de origen.
2. El sistema valida el RUT y los campos obligatorios.
3. Se alerta si el prospecto ya existe.</t>
        </is>
      </c>
      <c r="K24" s="27" t="inlineStr">
        <is>
          <t>CP-023, CP-024, CP-025, CP-027</t>
        </is>
      </c>
      <c r="L24" s="21" t="n"/>
      <c r="M24" s="21" t="n"/>
      <c r="N24" s="21" t="n"/>
      <c r="O24" s="21" t="n"/>
      <c r="P24" s="21" t="n"/>
      <c r="Q24" s="21" t="n"/>
      <c r="R24" s="21" t="n"/>
      <c r="S24" s="21" t="n"/>
      <c r="T24" s="21" t="n"/>
      <c r="U24" s="21" t="n"/>
      <c r="V24" s="21" t="n"/>
      <c r="W24" s="21" t="n"/>
      <c r="X24" s="21" t="n"/>
      <c r="Y24" s="21" t="n"/>
      <c r="Z24" s="21" t="n"/>
    </row>
    <row r="25" hidden="1" ht="63" customHeight="1" s="20">
      <c r="A25" s="21" t="n"/>
      <c r="B25" s="26" t="inlineStr">
        <is>
          <t>PC-COT-01</t>
        </is>
      </c>
      <c r="C25" s="26" t="inlineStr">
        <is>
          <t>Como prospecto, necesito cotizar en línea respondiendo un formulario, con la finalidad de recibir un plan sugerido en minutos.</t>
        </is>
      </c>
      <c r="D25" s="26" t="inlineStr">
        <is>
          <t>Cotizador en línea</t>
        </is>
      </c>
      <c r="E25" s="26" t="inlineStr">
        <is>
          <t>Hecho</t>
        </is>
      </c>
      <c r="F25" s="27" t="n">
        <v>8</v>
      </c>
      <c r="G25" s="26" t="inlineStr">
        <is>
          <t>Sprint 2</t>
        </is>
      </c>
      <c r="H25" s="26" t="inlineStr">
        <is>
          <t>Alta</t>
        </is>
      </c>
      <c r="I25" s="26" t="inlineStr">
        <is>
          <t>E5 · Obj. 2 · El prospecto responde el formulario de cotización del sitio y recibe un plan sugerido. El diagnóstico con IA se agrega en PC-IA-01 (adelantada al Sprint 2 el 13 oct). Hay que validar las reglas de cotización con la agencia. Historia de la presentación del proyecto (diap. 10).</t>
        </is>
      </c>
      <c r="J25" s="26" t="inlineStr">
        <is>
          <t>1. El prospecto completa el formulario y recibe un plan sugerido.
2. El total se calcula según las reglas acordadas con la agencia.
3. No se aceptan cantidades o datos inválidos.</t>
        </is>
      </c>
      <c r="K25" s="27" t="inlineStr">
        <is>
          <t>CP-030, CP-031, CP-032</t>
        </is>
      </c>
      <c r="L25" s="21" t="n"/>
      <c r="M25" s="21" t="n"/>
      <c r="N25" s="21" t="n"/>
      <c r="O25" s="21" t="n"/>
      <c r="P25" s="21" t="n"/>
      <c r="Q25" s="21" t="n"/>
      <c r="R25" s="21" t="n"/>
      <c r="S25" s="21" t="n"/>
      <c r="T25" s="21" t="n"/>
      <c r="U25" s="21" t="n"/>
      <c r="V25" s="21" t="n"/>
      <c r="W25" s="21" t="n"/>
      <c r="X25" s="21" t="n"/>
      <c r="Y25" s="21" t="n"/>
      <c r="Z25" s="21" t="n"/>
    </row>
    <row r="26" hidden="1" ht="48" customHeight="1" s="20">
      <c r="A26" s="21" t="n"/>
      <c r="B26" s="26" t="inlineStr">
        <is>
          <t>PC-COT-02</t>
        </is>
      </c>
      <c r="C26" s="26" t="inlineStr">
        <is>
          <t>Como administradora, necesito revisar, ajustar y aprobar la cotización antes de enviarla al prospecto, con la finalidad de que ninguna propuesta salga de la agencia sin mi validación.</t>
        </is>
      </c>
      <c r="D26" s="26" t="inlineStr">
        <is>
          <t>Revisión de la cotización</t>
        </is>
      </c>
      <c r="E26" s="26" t="inlineStr">
        <is>
          <t>Hecho</t>
        </is>
      </c>
      <c r="F26" s="27" t="n">
        <v>5</v>
      </c>
      <c r="G26" s="26" t="inlineStr">
        <is>
          <t>Sprint 2</t>
        </is>
      </c>
      <c r="H26" s="26" t="inlineStr">
        <is>
          <t>Alta</t>
        </is>
      </c>
      <c r="I26" s="26" t="inlineStr">
        <is>
          <t>E1 · Obj. 2 · La administradora revisa, ajusta y aprueba la cotización antes de enviarla. Refleja el principio del proyecto: la IA propone y la agencia decide.</t>
        </is>
      </c>
      <c r="J26" s="26" t="inlineStr">
        <is>
          <t>1. La administradora puede ajustar la cotización antes de aprobarla.
2. Ninguna cotización se envía sin aprobación de la administradora.
3. El estado de la cotización queda registrado (borrador, enviada, aceptada, rechazada).</t>
        </is>
      </c>
      <c r="K26" s="27" t="inlineStr">
        <is>
          <t>CP-033, CP-034, CP-036</t>
        </is>
      </c>
      <c r="L26" s="21" t="n"/>
      <c r="M26" s="21" t="n"/>
      <c r="N26" s="21" t="n"/>
      <c r="O26" s="21" t="n"/>
      <c r="P26" s="21" t="n"/>
      <c r="Q26" s="21" t="n"/>
      <c r="R26" s="21" t="n"/>
      <c r="S26" s="21" t="n"/>
      <c r="T26" s="21" t="n"/>
      <c r="U26" s="21" t="n"/>
      <c r="V26" s="21" t="n"/>
      <c r="W26" s="21" t="n"/>
      <c r="X26" s="21" t="n"/>
      <c r="Y26" s="21" t="n"/>
      <c r="Z26" s="21" t="n"/>
    </row>
    <row r="27" hidden="1" ht="48" customHeight="1" s="20">
      <c r="A27" s="21" t="n"/>
      <c r="B27" s="26" t="inlineStr">
        <is>
          <t>PC-CLI-01</t>
        </is>
      </c>
      <c r="C27" s="26" t="inlineStr">
        <is>
          <t>Como administradora, necesito convertir un prospecto en cliente asignándole su plan contratado, con la finalidad de iniciar la operación sin volver a ingresar sus datos.</t>
        </is>
      </c>
      <c r="D27" s="26" t="inlineStr">
        <is>
          <t>Conversión a cliente</t>
        </is>
      </c>
      <c r="E27" s="26" t="inlineStr">
        <is>
          <t>Hecho</t>
        </is>
      </c>
      <c r="F27" s="27" t="n">
        <v>5</v>
      </c>
      <c r="G27" s="26" t="inlineStr">
        <is>
          <t>Sprint 2</t>
        </is>
      </c>
      <c r="H27" s="26" t="inlineStr">
        <is>
          <t>Alta</t>
        </is>
      </c>
      <c r="I27" s="26" t="inlineStr">
        <is>
          <t>E1 · Obj. 2 y 4 · Convierte un prospecto en cliente con su plan contratado, sin volver a ingresar datos. Desde aquí se controla la cuota mensual del plan (Sprint 3). Se prueba con CP-035.</t>
        </is>
      </c>
      <c r="J27" s="26" t="inlineStr">
        <is>
          <t>1. Al convertir un prospecto, se crea el cliente con sus datos sin volver a ingresarlos.
2. El cliente queda asociado a su plan contratado.
3. El prospecto queda marcado como cerrado ganado.</t>
        </is>
      </c>
      <c r="K27" s="27" t="inlineStr">
        <is>
          <t>CP-035</t>
        </is>
      </c>
      <c r="L27" s="21" t="n"/>
      <c r="M27" s="21" t="n"/>
      <c r="N27" s="21" t="n"/>
      <c r="O27" s="21" t="n"/>
      <c r="P27" s="21" t="n"/>
      <c r="Q27" s="21" t="n"/>
      <c r="R27" s="21" t="n"/>
      <c r="S27" s="21" t="n"/>
      <c r="T27" s="21" t="n"/>
      <c r="U27" s="21" t="n"/>
      <c r="V27" s="21" t="n"/>
      <c r="W27" s="21" t="n"/>
      <c r="X27" s="21" t="n"/>
      <c r="Y27" s="21" t="n"/>
      <c r="Z27" s="21" t="n"/>
    </row>
    <row r="28" hidden="1" ht="48" customHeight="1" s="20">
      <c r="A28" s="21" t="n"/>
      <c r="B28" s="26" t="inlineStr">
        <is>
          <t>PC-CLI-02</t>
        </is>
      </c>
      <c r="C28" s="26" t="inlineStr">
        <is>
          <t>Como administradora, necesito una ficha del cliente con contrato, directrices de marca, objetivos, KPIs y documentos, con la finalidad de tener toda la información del cliente en un solo lugar.</t>
        </is>
      </c>
      <c r="D28" s="26" t="inlineStr">
        <is>
          <t>Ficha del cliente</t>
        </is>
      </c>
      <c r="E28" s="26" t="inlineStr">
        <is>
          <t>Hecho</t>
        </is>
      </c>
      <c r="F28" s="27" t="n">
        <v>8</v>
      </c>
      <c r="G28" s="26" t="inlineStr">
        <is>
          <t>Sprint 2</t>
        </is>
      </c>
      <c r="H28" s="26" t="inlineStr">
        <is>
          <t>Alta</t>
        </is>
      </c>
      <c r="I28" s="26" t="inlineStr">
        <is>
          <t>E1 · Obj. 2 · Ficha con todo lo del cliente en un solo lugar: contrato, directrices de marca, objetivos, KPIs y documentos. Reemplaza la información dispersa en Notion.</t>
        </is>
      </c>
      <c r="J28" s="26" t="inlineStr">
        <is>
          <t>1. La ficha muestra contrato, directrices de marca, objetivos, KPIs y documentos.
2. Solo usuarios autorizados pueden ver y editar la ficha.
3. Los documentos adjuntos se pueden descargar.</t>
        </is>
      </c>
      <c r="K28" s="27" t="inlineStr">
        <is>
          <t>—</t>
        </is>
      </c>
      <c r="L28" s="21" t="n"/>
      <c r="M28" s="21" t="n"/>
      <c r="N28" s="21" t="n"/>
      <c r="O28" s="21" t="n"/>
      <c r="P28" s="21" t="n"/>
      <c r="Q28" s="21" t="n"/>
      <c r="R28" s="21" t="n"/>
      <c r="S28" s="21" t="n"/>
      <c r="T28" s="21" t="n"/>
      <c r="U28" s="21" t="n"/>
      <c r="V28" s="21" t="n"/>
      <c r="W28" s="21" t="n"/>
      <c r="X28" s="21" t="n"/>
      <c r="Y28" s="21" t="n"/>
      <c r="Z28" s="21" t="n"/>
    </row>
    <row r="29" hidden="1" ht="48" customHeight="1" s="20">
      <c r="A29" s="21" t="n"/>
      <c r="B29" s="26" t="inlineStr">
        <is>
          <t>PC-POR-01</t>
        </is>
      </c>
      <c r="C29" s="26" t="inlineStr">
        <is>
          <t>Como cliente (aprobador o lector), necesito ingresar a un portal propio con el estado de mi plan y mis pendientes, con la finalidad de estar informada sin tener que pedirle información a la agencia.</t>
        </is>
      </c>
      <c r="D29" s="26" t="inlineStr">
        <is>
          <t>Portal del cliente</t>
        </is>
      </c>
      <c r="E29" s="26" t="inlineStr">
        <is>
          <t>Planificada</t>
        </is>
      </c>
      <c r="F29" s="27" t="n">
        <v>8</v>
      </c>
      <c r="G29" s="26" t="inlineStr">
        <is>
          <t>Sprint 3</t>
        </is>
      </c>
      <c r="H29" s="26" t="inlineStr">
        <is>
          <t>Alta</t>
        </is>
      </c>
      <c r="I29" s="26" t="inlineStr">
        <is>
          <t>E3 (y E4) · Obj. 9 · Portal propio de cada cliente con calendario, aprobaciones, métricas y archivos, según el prototipo. Solo muestra información de su empresa (ver PC-AUT-05).</t>
        </is>
      </c>
      <c r="J29" s="26" t="inlineStr">
        <is>
          <t>1. El cliente ve el estado de su plan y sus pendientes al ingresar.
2. Solo se muestra información de su empresa.
3. El portal funciona en celular.</t>
        </is>
      </c>
      <c r="K29" s="27" t="inlineStr">
        <is>
          <t>CP-038, CP-039</t>
        </is>
      </c>
      <c r="L29" s="21" t="n"/>
      <c r="M29" s="21" t="n"/>
      <c r="N29" s="21" t="n"/>
      <c r="O29" s="21" t="n"/>
      <c r="P29" s="21" t="n"/>
      <c r="Q29" s="21" t="n"/>
      <c r="R29" s="21" t="n"/>
      <c r="S29" s="21" t="n"/>
      <c r="T29" s="21" t="n"/>
      <c r="U29" s="21" t="n"/>
      <c r="V29" s="21" t="n"/>
      <c r="W29" s="21" t="n"/>
      <c r="X29" s="21" t="n"/>
      <c r="Y29" s="21" t="n"/>
      <c r="Z29" s="21" t="n"/>
    </row>
    <row r="30" hidden="1" ht="63" customHeight="1" s="20">
      <c r="A30" s="21" t="n"/>
      <c r="B30" s="26" t="inlineStr">
        <is>
          <t>PC-CAL-01</t>
        </is>
      </c>
      <c r="C30" s="26" t="inlineStr">
        <is>
          <t>Como colaboradora, necesito cargar contenido al calendario editorial y enviarlo a revisión, con la finalidad de cumplir el ciclo semanal de aprobación.</t>
        </is>
      </c>
      <c r="D30" s="26" t="inlineStr">
        <is>
          <t>Cargar contenido y enviar a revisión</t>
        </is>
      </c>
      <c r="E30" s="26" t="inlineStr">
        <is>
          <t>Planificada</t>
        </is>
      </c>
      <c r="F30" s="27" t="n">
        <v>8</v>
      </c>
      <c r="G30" s="26" t="inlineStr">
        <is>
          <t>Sprint 3</t>
        </is>
      </c>
      <c r="H30" s="26" t="inlineStr">
        <is>
          <t>Alta</t>
        </is>
      </c>
      <c r="I30" s="26" t="inlineStr">
        <is>
          <t>E2 · Obj. 5 · La colaboradora carga las piezas y las envía a revisión del cliente, dentro del ciclo semanal de aprobación. Se probará con contenido ficticio. Historia de la presentación del proyecto (diap. 10).</t>
        </is>
      </c>
      <c r="J30" s="26" t="inlineStr">
        <is>
          <t>1. La colaboradora carga una pieza con fecha, texto e imagen.
2. Al enviarla a revisión, cambia su estado y se notifica al cliente aprobador.
3. Solo puede cargar contenido para sus clientes asignados.</t>
        </is>
      </c>
      <c r="K30" s="27" t="inlineStr">
        <is>
          <t>CP-040, CP-046, CP-050</t>
        </is>
      </c>
      <c r="L30" s="21" t="n"/>
      <c r="M30" s="21" t="n"/>
      <c r="N30" s="21" t="n"/>
      <c r="O30" s="21" t="n"/>
      <c r="P30" s="21" t="n"/>
      <c r="Q30" s="21" t="n"/>
      <c r="R30" s="21" t="n"/>
      <c r="S30" s="21" t="n"/>
      <c r="T30" s="21" t="n"/>
      <c r="U30" s="21" t="n"/>
      <c r="V30" s="21" t="n"/>
      <c r="W30" s="21" t="n"/>
      <c r="X30" s="21" t="n"/>
      <c r="Y30" s="21" t="n"/>
      <c r="Z30" s="21" t="n"/>
    </row>
    <row r="31" hidden="1" ht="48" customHeight="1" s="20">
      <c r="A31" s="21" t="n"/>
      <c r="B31" s="26" t="inlineStr">
        <is>
          <t>PC-CAL-02</t>
        </is>
      </c>
      <c r="C31" s="26" t="inlineStr">
        <is>
          <t>Como colaboradora, necesito ver el calendario editorial de mis clientes con el estado de cada pieza, con la finalidad de organizar la producción semanal.</t>
        </is>
      </c>
      <c r="D31" s="26" t="inlineStr">
        <is>
          <t>Calendario editorial</t>
        </is>
      </c>
      <c r="E31" s="26" t="inlineStr">
        <is>
          <t>Planificada</t>
        </is>
      </c>
      <c r="F31" s="27" t="n">
        <v>5</v>
      </c>
      <c r="G31" s="26" t="inlineStr">
        <is>
          <t>Sprint 3</t>
        </is>
      </c>
      <c r="H31" s="26" t="inlineStr">
        <is>
          <t>Media</t>
        </is>
      </c>
      <c r="I31" s="26" t="inlineStr">
        <is>
          <t>E2 · Obj. 5 · Calendario mensual con el estado de cada pieza (borrador, en revisión, aprobado o publicado, según el prototipo) para organizar la producción semanal.</t>
        </is>
      </c>
      <c r="J31" s="26" t="inlineStr">
        <is>
          <t>1. El calendario muestra las piezas del mes con su estado.
2. Se puede filtrar por cliente.
3. Las fechas se muestran correctamente según la zona horaria de Chile.</t>
        </is>
      </c>
      <c r="K31" s="27" t="inlineStr">
        <is>
          <t>CP-038, CP-049</t>
        </is>
      </c>
      <c r="L31" s="21" t="n"/>
      <c r="M31" s="21" t="n"/>
      <c r="N31" s="21" t="n"/>
      <c r="O31" s="21" t="n"/>
      <c r="P31" s="21" t="n"/>
      <c r="Q31" s="21" t="n"/>
      <c r="R31" s="21" t="n"/>
      <c r="S31" s="21" t="n"/>
      <c r="T31" s="21" t="n"/>
      <c r="U31" s="21" t="n"/>
      <c r="V31" s="21" t="n"/>
      <c r="W31" s="21" t="n"/>
      <c r="X31" s="21" t="n"/>
      <c r="Y31" s="21" t="n"/>
      <c r="Z31" s="21" t="n"/>
    </row>
    <row r="32" hidden="1" ht="63" customHeight="1" s="20">
      <c r="A32" s="21" t="n"/>
      <c r="B32" s="26" t="inlineStr">
        <is>
          <t>PC-APR-01</t>
        </is>
      </c>
      <c r="C32" s="26" t="inlineStr">
        <is>
          <t>Como cliente aprobador, necesito aprobar o solicitar cambios sobre el contenido enviado, con la finalidad de mantener control sobre lo que se publica a nombre de mi marca.</t>
        </is>
      </c>
      <c r="D32" s="26" t="inlineStr">
        <is>
          <t>Aprobar o pedir cambios</t>
        </is>
      </c>
      <c r="E32" s="26" t="inlineStr">
        <is>
          <t>Planificada</t>
        </is>
      </c>
      <c r="F32" s="27" t="n">
        <v>8</v>
      </c>
      <c r="G32" s="26" t="inlineStr">
        <is>
          <t>Sprint 3</t>
        </is>
      </c>
      <c r="H32" s="26" t="inlineStr">
        <is>
          <t>Alta</t>
        </is>
      </c>
      <c r="I32" s="26" t="inlineStr">
        <is>
          <t>E3 · Obj. 5 · El cliente aprueba una pieza o pide cambios y deja comentarios en el mismo lugar. Se prueba con CP-041 a CP-045, incluida la aprobación fuera de rol. Historia de la presentación del proyecto (diap. 10).</t>
        </is>
      </c>
      <c r="J32" s="26" t="inlineStr">
        <is>
          <t>1. El cliente aprobador puede aprobar o pedir cambios con comentario.
2. El cambio de estado se refleja de inmediato para la agencia.
3. Un cliente lector no puede aprobar, y una pieza no se aprueba dos veces.</t>
        </is>
      </c>
      <c r="K32" s="27" t="inlineStr">
        <is>
          <t>CP-041, CP-042, CP-043, CP-044, CP-045</t>
        </is>
      </c>
      <c r="L32" s="21" t="n"/>
      <c r="M32" s="21" t="n"/>
      <c r="N32" s="21" t="n"/>
      <c r="O32" s="21" t="n"/>
      <c r="P32" s="21" t="n"/>
      <c r="Q32" s="21" t="n"/>
      <c r="R32" s="21" t="n"/>
      <c r="S32" s="21" t="n"/>
      <c r="T32" s="21" t="n"/>
      <c r="U32" s="21" t="n"/>
      <c r="V32" s="21" t="n"/>
      <c r="W32" s="21" t="n"/>
      <c r="X32" s="21" t="n"/>
      <c r="Y32" s="21" t="n"/>
      <c r="Z32" s="21" t="n"/>
    </row>
    <row r="33" hidden="1" ht="48" customHeight="1" s="20">
      <c r="A33" s="21" t="n"/>
      <c r="B33" s="26" t="inlineStr">
        <is>
          <t>PC-APR-02</t>
        </is>
      </c>
      <c r="C33" s="26" t="inlineStr">
        <is>
          <t>Como cliente aprobador, necesito ver las versiones de cada pieza y quién la aprobó y cuándo, con la finalidad de tener trazabilidad de lo que autoricé.</t>
        </is>
      </c>
      <c r="D33" s="26" t="inlineStr">
        <is>
          <t>Versionado y registro de aprobación</t>
        </is>
      </c>
      <c r="E33" s="26" t="inlineStr">
        <is>
          <t>Planificada</t>
        </is>
      </c>
      <c r="F33" s="27" t="n">
        <v>5</v>
      </c>
      <c r="G33" s="26" t="inlineStr">
        <is>
          <t>Sprint 3</t>
        </is>
      </c>
      <c r="H33" s="26" t="inlineStr">
        <is>
          <t>Alta</t>
        </is>
      </c>
      <c r="I33" s="26" t="inlineStr">
        <is>
          <t>E3 · Obj. 5 · Guarda cada versión de una pieza y registra quién aprobó y cuándo, para poder demostrar qué se autorizó. Responde a la falta de trazabilidad de la aprobación actual.</t>
        </is>
      </c>
      <c r="J33" s="26" t="inlineStr">
        <is>
          <t>1. Cada versión de una pieza queda guardada.
2. Se registra quién aprobó y cuándo.
3. El historial no puede modificarse.</t>
        </is>
      </c>
      <c r="K33" s="27" t="inlineStr">
        <is>
          <t>CP-041</t>
        </is>
      </c>
      <c r="L33" s="21" t="n"/>
      <c r="M33" s="21" t="n"/>
      <c r="N33" s="21" t="n"/>
      <c r="O33" s="21" t="n"/>
      <c r="P33" s="21" t="n"/>
      <c r="Q33" s="21" t="n"/>
      <c r="R33" s="21" t="n"/>
      <c r="S33" s="21" t="n"/>
      <c r="T33" s="21" t="n"/>
      <c r="U33" s="21" t="n"/>
      <c r="V33" s="21" t="n"/>
      <c r="W33" s="21" t="n"/>
      <c r="X33" s="21" t="n"/>
      <c r="Y33" s="21" t="n"/>
      <c r="Z33" s="21" t="n"/>
    </row>
    <row r="34" hidden="1" ht="48" customHeight="1" s="20">
      <c r="A34" s="21" t="n"/>
      <c r="B34" s="26" t="inlineStr">
        <is>
          <t>PC-SOL-01</t>
        </is>
      </c>
      <c r="C34" s="26" t="inlineStr">
        <is>
          <t>Como cliente (aprobador o lector), necesito enviar solicitudes y archivos a la agencia desde el portal, con la finalidad de dejar de usar canales informales.</t>
        </is>
      </c>
      <c r="D34" s="26" t="inlineStr">
        <is>
          <t>Solicitudes y archivos</t>
        </is>
      </c>
      <c r="E34" s="26" t="inlineStr">
        <is>
          <t>Planificada</t>
        </is>
      </c>
      <c r="F34" s="27" t="n">
        <v>5</v>
      </c>
      <c r="G34" s="26" t="inlineStr">
        <is>
          <t>Sprint 3</t>
        </is>
      </c>
      <c r="H34" s="26" t="inlineStr">
        <is>
          <t>Media</t>
        </is>
      </c>
      <c r="I34" s="26" t="inlineStr">
        <is>
          <t>E3 (y E4) · Obj. 9 · Canal formal dentro del portal para pedir cosas a la agencia y adjuntar archivos, en vez de WhatsApp o correo. Los archivos se validan al subirlos (RNF-03, CP-047 y CP-048).</t>
        </is>
      </c>
      <c r="J34" s="26" t="inlineStr">
        <is>
          <t>1. El cliente envía una solicitud con archivos adjuntos desde el portal.
2. Solo se aceptan archivos de tipos y tamaños permitidos.
3. La agencia ve la solicitud y puede responderla.</t>
        </is>
      </c>
      <c r="K34" s="27" t="inlineStr">
        <is>
          <t>CP-046, CP-047, CP-048</t>
        </is>
      </c>
      <c r="L34" s="21" t="n"/>
      <c r="M34" s="21" t="n"/>
      <c r="N34" s="21" t="n"/>
      <c r="O34" s="21" t="n"/>
      <c r="P34" s="21" t="n"/>
      <c r="Q34" s="21" t="n"/>
      <c r="R34" s="21" t="n"/>
      <c r="S34" s="21" t="n"/>
      <c r="T34" s="21" t="n"/>
      <c r="U34" s="21" t="n"/>
      <c r="V34" s="21" t="n"/>
      <c r="W34" s="21" t="n"/>
      <c r="X34" s="21" t="n"/>
      <c r="Y34" s="21" t="n"/>
      <c r="Z34" s="21" t="n"/>
    </row>
    <row r="35" hidden="1" ht="63" customHeight="1" s="20">
      <c r="A35" s="21" t="n"/>
      <c r="B35" s="26" t="inlineStr">
        <is>
          <t>PC-SOL-02</t>
        </is>
      </c>
      <c r="C35" s="26" t="inlineStr">
        <is>
          <t>Como usuario registrado (administradora, colaboradora o cliente), necesito recibir notificaciones cuando hay una pieza por revisar o una solicitud respondida, con la finalidad de no perder tiempo en los ciclos de aprobación y respuesta.</t>
        </is>
      </c>
      <c r="D35" s="26" t="inlineStr">
        <is>
          <t>Notificaciones</t>
        </is>
      </c>
      <c r="E35" s="26" t="inlineStr">
        <is>
          <t>Planificada</t>
        </is>
      </c>
      <c r="F35" s="27" t="n">
        <v>5</v>
      </c>
      <c r="G35" s="26" t="inlineStr">
        <is>
          <t>Sprint 3</t>
        </is>
      </c>
      <c r="H35" s="26" t="inlineStr">
        <is>
          <t>Media</t>
        </is>
      </c>
      <c r="I35" s="26" t="inlineStr">
        <is>
          <t>T · Obj. 5 · Avisa por correo y dentro de la plataforma cuando hay algo por revisar o una solicitud respondida, para que los ciclos de aprobación no se detengan. Se prueba con CP-063 a CP-066.</t>
        </is>
      </c>
      <c r="J35" s="26" t="inlineStr">
        <is>
          <t>1. Se notifica por correo y en la plataforma cuando hay una pieza por revisar o una solicitud respondida.
2. Si falla el envío de correo, se reintenta.
3. Cada usuario solo recibe notificaciones de lo que le corresponde.</t>
        </is>
      </c>
      <c r="K35" s="27" t="inlineStr">
        <is>
          <t>CP-050, CP-063, CP-064, CP-065, CP-066</t>
        </is>
      </c>
      <c r="L35" s="21" t="n"/>
      <c r="M35" s="21" t="n"/>
      <c r="N35" s="21" t="n"/>
      <c r="O35" s="21" t="n"/>
      <c r="P35" s="21" t="n"/>
      <c r="Q35" s="21" t="n"/>
      <c r="R35" s="21" t="n"/>
      <c r="S35" s="21" t="n"/>
      <c r="T35" s="21" t="n"/>
      <c r="U35" s="21" t="n"/>
      <c r="V35" s="21" t="n"/>
      <c r="W35" s="21" t="n"/>
      <c r="X35" s="21" t="n"/>
      <c r="Y35" s="21" t="n"/>
      <c r="Z35" s="21" t="n"/>
    </row>
    <row r="36" hidden="1" ht="48" customHeight="1" s="20">
      <c r="A36" s="21" t="n"/>
      <c r="B36" s="26" t="inlineStr">
        <is>
          <t>PC-CUM-01</t>
        </is>
      </c>
      <c r="C36" s="26" t="inlineStr">
        <is>
          <t>Como administradora, necesito ver el cumplimiento del plan de cada cliente en una sola pantalla, con la finalidad de detectar a tiempo los riesgos de incumplimiento.</t>
        </is>
      </c>
      <c r="D36" s="26" t="inlineStr">
        <is>
          <t>Cumplimiento del plan (agencia)</t>
        </is>
      </c>
      <c r="E36" s="26" t="inlineStr">
        <is>
          <t>Planificada</t>
        </is>
      </c>
      <c r="F36" s="27" t="n">
        <v>8</v>
      </c>
      <c r="G36" s="26" t="inlineStr">
        <is>
          <t>Sprint 3</t>
        </is>
      </c>
      <c r="H36" s="26" t="inlineStr">
        <is>
          <t>Alta</t>
        </is>
      </c>
      <c r="I36" s="26" t="inlineStr">
        <is>
          <t>E1 · Obj. 4 · Pantalla que compara, por cliente, lo comprometido en su plan con lo entregado en el mes, para detectar incumplimientos a tiempo. Historia de la presentación del proyecto (diap. 10).</t>
        </is>
      </c>
      <c r="J36" s="26" t="inlineStr">
        <is>
          <t>1. La pantalla muestra, por cliente, lo comprometido en el plan y lo entregado en el mes.
2. Se destacan los clientes con riesgo de incumplimiento.
3. Los datos coinciden con el calendario editorial.</t>
        </is>
      </c>
      <c r="K36" s="27" t="inlineStr">
        <is>
          <t>—</t>
        </is>
      </c>
      <c r="L36" s="21" t="n"/>
      <c r="M36" s="21" t="n"/>
      <c r="N36" s="21" t="n"/>
      <c r="O36" s="21" t="n"/>
      <c r="P36" s="21" t="n"/>
      <c r="Q36" s="21" t="n"/>
      <c r="R36" s="21" t="n"/>
      <c r="S36" s="21" t="n"/>
      <c r="T36" s="21" t="n"/>
      <c r="U36" s="21" t="n"/>
      <c r="V36" s="21" t="n"/>
      <c r="W36" s="21" t="n"/>
      <c r="X36" s="21" t="n"/>
      <c r="Y36" s="21" t="n"/>
      <c r="Z36" s="21" t="n"/>
    </row>
    <row r="37" hidden="1" ht="48" customHeight="1" s="20">
      <c r="A37" s="21" t="n"/>
      <c r="B37" s="26" t="inlineStr">
        <is>
          <t>PC-CUM-02</t>
        </is>
      </c>
      <c r="C37" s="26" t="inlineStr">
        <is>
          <t>Como cliente (aprobador o lector), necesito ver los entregables comprometidos, entregados y aprobados de mi plan en el mes, con la finalidad de verificar que la agencia cumple lo contratado.</t>
        </is>
      </c>
      <c r="D37" s="26" t="inlineStr">
        <is>
          <t>Cumplimiento del plan (cliente)</t>
        </is>
      </c>
      <c r="E37" s="26" t="inlineStr">
        <is>
          <t>Planificada</t>
        </is>
      </c>
      <c r="F37" s="27" t="n">
        <v>3</v>
      </c>
      <c r="G37" s="26" t="inlineStr">
        <is>
          <t>Sprint 3</t>
        </is>
      </c>
      <c r="H37" s="26" t="inlineStr">
        <is>
          <t>Media</t>
        </is>
      </c>
      <c r="I37" s="26" t="inlineStr">
        <is>
          <t>E4 · Obj. 4 y 9 · Versión del cumplimiento para el cliente: qué le corresponde según su plan, qué se le entregó y qué aprobó este mes.</t>
        </is>
      </c>
      <c r="J37" s="26" t="inlineStr">
        <is>
          <t>1. El cliente ve lo comprometido, entregado y aprobado de su plan en el mes.
2. Solo ve datos de su empresa.
3. Los datos coinciden con los de la vista de la agencia.</t>
        </is>
      </c>
      <c r="K37" s="27" t="inlineStr">
        <is>
          <t>—</t>
        </is>
      </c>
      <c r="L37" s="21" t="n"/>
      <c r="M37" s="21" t="n"/>
      <c r="N37" s="21" t="n"/>
      <c r="O37" s="21" t="n"/>
      <c r="P37" s="21" t="n"/>
      <c r="Q37" s="21" t="n"/>
      <c r="R37" s="21" t="n"/>
      <c r="S37" s="21" t="n"/>
      <c r="T37" s="21" t="n"/>
      <c r="U37" s="21" t="n"/>
      <c r="V37" s="21" t="n"/>
      <c r="W37" s="21" t="n"/>
      <c r="X37" s="21" t="n"/>
      <c r="Y37" s="21" t="n"/>
      <c r="Z37" s="21" t="n"/>
    </row>
    <row r="38" hidden="1" ht="48" customHeight="1" s="20">
      <c r="A38" s="21" t="n"/>
      <c r="B38" s="26" t="inlineStr">
        <is>
          <t>PC-MET-01</t>
        </is>
      </c>
      <c r="C38" s="26" t="inlineStr">
        <is>
          <t>Como administradora, necesito cargar por archivo las métricas de campañas e Instagram de un cliente, con la finalidad de consolidar resultados sin depender de las integraciones oficiales.</t>
        </is>
      </c>
      <c r="D38" s="26" t="inlineStr">
        <is>
          <t>Ingesta de métricas por archivo</t>
        </is>
      </c>
      <c r="E38" s="26" t="inlineStr">
        <is>
          <t>Planificada</t>
        </is>
      </c>
      <c r="F38" s="27" t="n">
        <v>8</v>
      </c>
      <c r="G38" s="26" t="inlineStr">
        <is>
          <t>Sprint 4</t>
        </is>
      </c>
      <c r="H38" s="26" t="inlineStr">
        <is>
          <t>Alta</t>
        </is>
      </c>
      <c r="I38" s="26" t="inlineStr">
        <is>
          <t>E1 · Obj. 6 · Carga métricas desde archivos exportados (Instagram Insights y Meta Ads). Es el camino garantizado si las integraciones oficiales fallan (riesgos R-47 y R-48 de la Planilla de riesgos).</t>
        </is>
      </c>
      <c r="J38" s="26" t="inlineStr">
        <is>
          <t>1. La administradora carga un archivo exportado de Instagram o Meta Ads para un cliente.
2. El sistema valida el formato e informa errores sin cargar datos parciales.
3. Las métricas cargadas aparecen en el dashboard del cliente.</t>
        </is>
      </c>
      <c r="K38" s="27" t="inlineStr">
        <is>
          <t>CP-056</t>
        </is>
      </c>
      <c r="L38" s="21" t="n"/>
      <c r="M38" s="21" t="n"/>
      <c r="N38" s="21" t="n"/>
      <c r="O38" s="21" t="n"/>
      <c r="P38" s="21" t="n"/>
      <c r="Q38" s="21" t="n"/>
      <c r="R38" s="21" t="n"/>
      <c r="S38" s="21" t="n"/>
      <c r="T38" s="21" t="n"/>
      <c r="U38" s="21" t="n"/>
      <c r="V38" s="21" t="n"/>
      <c r="W38" s="21" t="n"/>
      <c r="X38" s="21" t="n"/>
      <c r="Y38" s="21" t="n"/>
      <c r="Z38" s="21" t="n"/>
    </row>
    <row r="39" hidden="1" ht="63" customHeight="1" s="20">
      <c r="A39" s="21" t="n"/>
      <c r="B39" s="26" t="inlineStr">
        <is>
          <t>PC-MET-02</t>
        </is>
      </c>
      <c r="C39" s="26" t="inlineStr">
        <is>
          <t>Como administradora, necesito conectar las cuentas de Meta Ads e Instagram de un cliente, con la finalidad de traer sus métricas de forma automática.</t>
        </is>
      </c>
      <c r="D39" s="26" t="inlineStr">
        <is>
          <t>Integración con Meta e Instagram</t>
        </is>
      </c>
      <c r="E39" s="26" t="inlineStr">
        <is>
          <t>Planificada</t>
        </is>
      </c>
      <c r="F39" s="27" t="n">
        <v>8</v>
      </c>
      <c r="G39" s="26" t="inlineStr">
        <is>
          <t>Sprint 4</t>
        </is>
      </c>
      <c r="H39" s="26" t="inlineStr">
        <is>
          <t>Media</t>
        </is>
      </c>
      <c r="I39" s="26" t="inlineStr">
        <is>
          <t>E1 · Obj. 6 · Conexión directa con las cuentas de Meta e Instagram para traer las métricas sin cargar archivos. Depende de que Meta apruebe la app (riesgo R-48); si no ocurre a tiempo, no bloquea el hito porque existe PC-MET-01.</t>
        </is>
      </c>
      <c r="J39" s="26" t="inlineStr">
        <is>
          <t>1. La administradora conecta las cuentas de Meta e Instagram de un cliente.
2. Las métricas se actualizan automáticamente.
3. Si la fuente externa falla, se informa y se mantienen los datos anteriores.</t>
        </is>
      </c>
      <c r="K39" s="27" t="inlineStr">
        <is>
          <t>CP-055</t>
        </is>
      </c>
      <c r="L39" s="21" t="n"/>
      <c r="M39" s="21" t="n"/>
      <c r="N39" s="21" t="n"/>
      <c r="O39" s="21" t="n"/>
      <c r="P39" s="21" t="n"/>
      <c r="Q39" s="21" t="n"/>
      <c r="R39" s="21" t="n"/>
      <c r="S39" s="21" t="n"/>
      <c r="T39" s="21" t="n"/>
      <c r="U39" s="21" t="n"/>
      <c r="V39" s="21" t="n"/>
      <c r="W39" s="21" t="n"/>
      <c r="X39" s="21" t="n"/>
      <c r="Y39" s="21" t="n"/>
      <c r="Z39" s="21" t="n"/>
    </row>
    <row r="40" hidden="1" ht="48" customHeight="1" s="20">
      <c r="A40" s="21" t="n"/>
      <c r="B40" s="26" t="inlineStr">
        <is>
          <t>PC-DSH-01</t>
        </is>
      </c>
      <c r="C40" s="26" t="inlineStr">
        <is>
          <t>Como administradora, necesito ver dashboards y KPIs de cada cliente, con la finalidad de evaluar el resultado de las campañas y del contenido.</t>
        </is>
      </c>
      <c r="D40" s="26" t="inlineStr">
        <is>
          <t>Dashboards y KPIs por cliente</t>
        </is>
      </c>
      <c r="E40" s="26" t="inlineStr">
        <is>
          <t>Planificada</t>
        </is>
      </c>
      <c r="F40" s="27" t="n">
        <v>8</v>
      </c>
      <c r="G40" s="26" t="inlineStr">
        <is>
          <t>Sprint 4</t>
        </is>
      </c>
      <c r="H40" s="26" t="inlineStr">
        <is>
          <t>Alta</t>
        </is>
      </c>
      <c r="I40" s="26" t="inlineStr">
        <is>
          <t>E1 · Obj. 6 · Dashboards de KPIs por cliente para evaluar campañas y contenido, alimentados por las métricas de PC-MET-01 y PC-MET-02. Se prueba con CP-051 y CP-052.</t>
        </is>
      </c>
      <c r="J40" s="26" t="inlineStr">
        <is>
          <t>1. El dashboard muestra los KPIs del cliente seleccionado.
2. Se puede filtrar por rango de fechas.
3. Sin datos, se muestra un estado vacío claro.</t>
        </is>
      </c>
      <c r="K40" s="27" t="inlineStr">
        <is>
          <t>CP-051, CP-052, CP-054</t>
        </is>
      </c>
      <c r="L40" s="21" t="n"/>
      <c r="M40" s="21" t="n"/>
      <c r="N40" s="21" t="n"/>
      <c r="O40" s="21" t="n"/>
      <c r="P40" s="21" t="n"/>
      <c r="Q40" s="21" t="n"/>
      <c r="R40" s="21" t="n"/>
      <c r="S40" s="21" t="n"/>
      <c r="T40" s="21" t="n"/>
      <c r="U40" s="21" t="n"/>
      <c r="V40" s="21" t="n"/>
      <c r="W40" s="21" t="n"/>
      <c r="X40" s="21" t="n"/>
      <c r="Y40" s="21" t="n"/>
      <c r="Z40" s="21" t="n"/>
    </row>
    <row r="41" hidden="1" ht="48" customHeight="1" s="20">
      <c r="A41" s="21" t="n"/>
      <c r="B41" s="26" t="inlineStr">
        <is>
          <t>PC-DSH-02</t>
        </is>
      </c>
      <c r="C41" s="26" t="inlineStr">
        <is>
          <t>Como cliente lector, necesito ver mis métricas y KPIs en el portal, con la finalidad de conocer los resultados sin gestionar directamente el contenido.</t>
        </is>
      </c>
      <c r="D41" s="26" t="inlineStr">
        <is>
          <t>Métricas en el portal</t>
        </is>
      </c>
      <c r="E41" s="26" t="inlineStr">
        <is>
          <t>Planificada</t>
        </is>
      </c>
      <c r="F41" s="27" t="n">
        <v>5</v>
      </c>
      <c r="G41" s="26" t="inlineStr">
        <is>
          <t>Sprint 4</t>
        </is>
      </c>
      <c r="H41" s="26" t="inlineStr">
        <is>
          <t>Media</t>
        </is>
      </c>
      <c r="I41" s="26" t="inlineStr">
        <is>
          <t>E4 · Obj. 6 y 9 · El cliente lector ve sus métricas y KPIs en el portal, solo de su empresa. El aislamiento de métricas se prueba con CP-053.</t>
        </is>
      </c>
      <c r="J41" s="26" t="inlineStr">
        <is>
          <t>1. El cliente ve sus métricas y KPIs en el portal.
2. Solo ve métricas de su empresa.
3. Las cifras coinciden con las del dashboard de la agencia.</t>
        </is>
      </c>
      <c r="K41" s="27" t="inlineStr">
        <is>
          <t>CP-053</t>
        </is>
      </c>
      <c r="L41" s="21" t="n"/>
      <c r="M41" s="21" t="n"/>
      <c r="N41" s="21" t="n"/>
      <c r="O41" s="21" t="n"/>
      <c r="P41" s="21" t="n"/>
      <c r="Q41" s="21" t="n"/>
      <c r="R41" s="21" t="n"/>
      <c r="S41" s="21" t="n"/>
      <c r="T41" s="21" t="n"/>
      <c r="U41" s="21" t="n"/>
      <c r="V41" s="21" t="n"/>
      <c r="W41" s="21" t="n"/>
      <c r="X41" s="21" t="n"/>
      <c r="Y41" s="21" t="n"/>
      <c r="Z41" s="21" t="n"/>
    </row>
    <row r="42" hidden="1" ht="130" customHeight="1" s="20">
      <c r="A42" s="21" t="n"/>
      <c r="B42" s="26" t="inlineStr">
        <is>
          <t>PC-IA-01</t>
        </is>
      </c>
      <c r="C42" s="26" t="inlineStr">
        <is>
          <t>Como administradora, necesito que el sistema genere un borrador de diagnóstico de cotización a partir de las respuestas del formulario, con la finalidad de reducir el tiempo de elaboración de la cotización (hoy 3 días hábiles).</t>
        </is>
      </c>
      <c r="D42" s="26" t="inlineStr">
        <is>
          <t>Diagnóstico de cotización con IA</t>
        </is>
      </c>
      <c r="E42" s="26" t="inlineStr">
        <is>
          <t>Hecho</t>
        </is>
      </c>
      <c r="F42" s="27" t="n">
        <v>8</v>
      </c>
      <c r="G42" s="26" t="inlineStr">
        <is>
          <t>Sprint 2</t>
        </is>
      </c>
      <c r="H42" s="26" t="inlineStr">
        <is>
          <t>Alta</t>
        </is>
      </c>
      <c r="I42" s="26" t="inlineStr">
        <is>
          <t>E1 · Obj. 8 · La IA (Gemini) redacta un borrador de diagnóstico a partir del formulario del prospecto. Solo usa datos de ese prospecto. Adelantada del Sprint 4 al Sprint 2 el 13 oct 2026 por decisión del equipo (el Sprint 2 tenía pocos puntos). Conexión de prueba con la API de Gemini mediante Google AI Studio; más adelante se probará también Vertex AI y el equipo decidirá con cuál quedarse según el resultado. La revisión del diagnóstico por la administradora es una opción más que ella puede usar, no una obligación del sistema.</t>
        </is>
      </c>
      <c r="J42" s="26" t="inlineStr">
        <is>
          <t>1. El sistema genera un borrador de diagnóstico a partir del formulario del prospecto.
2. Solo se envían al modelo datos de ese prospecto.
3. Si la IA falla o demora, se informa y se puede continuar manualmente.</t>
        </is>
      </c>
      <c r="K42" s="27" t="inlineStr">
        <is>
          <t>CP-057, CP-061, CP-062</t>
        </is>
      </c>
      <c r="L42" s="21" t="n"/>
      <c r="M42" s="21" t="n"/>
      <c r="N42" s="21" t="n"/>
      <c r="O42" s="21" t="n"/>
      <c r="P42" s="21" t="n"/>
      <c r="Q42" s="21" t="n"/>
      <c r="R42" s="21" t="n"/>
      <c r="S42" s="21" t="n"/>
      <c r="T42" s="21" t="n"/>
      <c r="U42" s="21" t="n"/>
      <c r="V42" s="21" t="n"/>
      <c r="W42" s="21" t="n"/>
      <c r="X42" s="21" t="n"/>
      <c r="Y42" s="21" t="n"/>
      <c r="Z42" s="21" t="n"/>
    </row>
    <row r="43" hidden="1" ht="63" customHeight="1" s="20">
      <c r="A43" s="21" t="n"/>
      <c r="B43" s="26" t="inlineStr">
        <is>
          <t>PC-IA-02</t>
        </is>
      </c>
      <c r="C43" s="26" t="inlineStr">
        <is>
          <t>Como administradora, necesito generar un borrador del reporte mensual de un cliente a partir de sus métricas, con la finalidad de reducir su elaboración de cerca de 4 días a minutos.</t>
        </is>
      </c>
      <c r="D43" s="26" t="inlineStr">
        <is>
          <t>Reporte mensual con IA</t>
        </is>
      </c>
      <c r="E43" s="26" t="inlineStr">
        <is>
          <t>Planificada</t>
        </is>
      </c>
      <c r="F43" s="27" t="n">
        <v>8</v>
      </c>
      <c r="G43" s="26" t="inlineStr">
        <is>
          <t>Sprint 4</t>
        </is>
      </c>
      <c r="H43" s="26" t="inlineStr">
        <is>
          <t>Alta</t>
        </is>
      </c>
      <c r="I43" s="26" t="inlineStr">
        <is>
          <t>E1 · Obj. 7 · La IA arma un borrador del reporte mensual con las métricas del cliente y la administradora lo revisa antes de publicarlo. Usa solo datos de ese cliente (ver el resumen del mes del prototipo del portal).</t>
        </is>
      </c>
      <c r="J43" s="26" t="inlineStr">
        <is>
          <t>1. El sistema genera un borrador de reporte mensual con las métricas del cliente.
2. El borrador usa solo datos de ese cliente.
3. La administradora puede editarlo antes de publicarlo.</t>
        </is>
      </c>
      <c r="K43" s="27" t="inlineStr">
        <is>
          <t>CP-058, CP-062</t>
        </is>
      </c>
      <c r="L43" s="21" t="n"/>
      <c r="M43" s="21" t="n"/>
      <c r="N43" s="21" t="n"/>
      <c r="O43" s="21" t="n"/>
      <c r="P43" s="21" t="n"/>
      <c r="Q43" s="21" t="n"/>
      <c r="R43" s="21" t="n"/>
      <c r="S43" s="21" t="n"/>
      <c r="T43" s="21" t="n"/>
      <c r="U43" s="21" t="n"/>
      <c r="V43" s="21" t="n"/>
      <c r="W43" s="21" t="n"/>
      <c r="X43" s="21" t="n"/>
      <c r="Y43" s="21" t="n"/>
      <c r="Z43" s="21" t="n"/>
    </row>
    <row r="44" hidden="1" ht="48" customHeight="1" s="20">
      <c r="A44" s="21" t="n"/>
      <c r="B44" s="26" t="inlineStr">
        <is>
          <t>PC-IA-03</t>
        </is>
      </c>
      <c r="C44" s="26" t="inlineStr">
        <is>
          <t>Como colaboradora, necesito un borrador de copy con la voz de marca del cliente, con la finalidad de acelerar la producción de contenido.</t>
        </is>
      </c>
      <c r="D44" s="26" t="inlineStr">
        <is>
          <t>Copy con voz de marca</t>
        </is>
      </c>
      <c r="E44" s="26" t="inlineStr">
        <is>
          <t>Planificada</t>
        </is>
      </c>
      <c r="F44" s="27" t="n">
        <v>8</v>
      </c>
      <c r="G44" s="26" t="inlineStr">
        <is>
          <t>Sprint 4</t>
        </is>
      </c>
      <c r="H44" s="26" t="inlineStr">
        <is>
          <t>Media</t>
        </is>
      </c>
      <c r="I44" s="26" t="inlineStr">
        <is>
          <t>E2 · Sin objetivo específico directo (revisar si se asocia al Obj. 5) · Borrador de texto para publicaciones con el tono de marca del cliente; la colaboradora lo ajusta antes de enviarlo a aprobación.</t>
        </is>
      </c>
      <c r="J44" s="26" t="inlineStr">
        <is>
          <t>1. El sistema genera un borrador de copy con la voz de marca del cliente.
2. La colaboradora puede editarlo antes de enviarlo a aprobación.
3. El contenido queda identificado como generado por IA.</t>
        </is>
      </c>
      <c r="K44" s="27" t="inlineStr">
        <is>
          <t>CP-058, CP-060</t>
        </is>
      </c>
      <c r="L44" s="21" t="n"/>
      <c r="M44" s="21" t="n"/>
      <c r="N44" s="21" t="n"/>
      <c r="O44" s="21" t="n"/>
      <c r="P44" s="21" t="n"/>
      <c r="Q44" s="21" t="n"/>
      <c r="R44" s="21" t="n"/>
      <c r="S44" s="21" t="n"/>
      <c r="T44" s="21" t="n"/>
      <c r="U44" s="21" t="n"/>
      <c r="V44" s="21" t="n"/>
      <c r="W44" s="21" t="n"/>
      <c r="X44" s="21" t="n"/>
      <c r="Y44" s="21" t="n"/>
      <c r="Z44" s="21" t="n"/>
    </row>
    <row r="45" hidden="1" ht="48" customHeight="1" s="20">
      <c r="A45" s="21" t="n"/>
      <c r="B45" s="26" t="inlineStr">
        <is>
          <t>PC-IA-04</t>
        </is>
      </c>
      <c r="C45" s="26" t="inlineStr">
        <is>
          <t>Como administradora, necesito editar y aprobar todo borrador generado por IA antes de que se envíe o publique, con la finalidad de mantener el control humano sobre las decisiones comerciales y creativas.</t>
        </is>
      </c>
      <c r="D45" s="26" t="inlineStr">
        <is>
          <t>Aprobación humana de borradores IA</t>
        </is>
      </c>
      <c r="E45" s="26" t="inlineStr">
        <is>
          <t>Planificada</t>
        </is>
      </c>
      <c r="F45" s="27" t="n">
        <v>5</v>
      </c>
      <c r="G45" s="26" t="inlineStr">
        <is>
          <t>Sprint 4</t>
        </is>
      </c>
      <c r="H45" s="26" t="inlineStr">
        <is>
          <t>Alta</t>
        </is>
      </c>
      <c r="I45" s="26" t="inlineStr">
        <is>
          <t>E1 · Obj. 7 y 8 · Ningún texto generado por IA llega al cliente sin que una persona de la agencia lo edite y apruebe. Aplica a PC-IA-01, PC-IA-02 y PC-IA-03. Se prueba con CP-057 a CP-062. Nota 13 oct 2026: para el diagnóstico de PC-IA-01 la revisión de la administradora será opcional (agregado final), porque no podrá revisar todos los diagnósticos.</t>
        </is>
      </c>
      <c r="J45" s="26" t="inlineStr">
        <is>
          <t>1. Ningún borrador generado por IA se envía o publica sin confirmación de una persona.
2. Se puede editar el borrador antes de aprobarlo.
3. El contenido queda identificado como generado por IA.</t>
        </is>
      </c>
      <c r="K45" s="27" t="inlineStr">
        <is>
          <t>CP-058, CP-059, CP-060</t>
        </is>
      </c>
      <c r="L45" s="21" t="n"/>
      <c r="M45" s="21" t="n"/>
      <c r="N45" s="21" t="n"/>
      <c r="O45" s="21" t="n"/>
      <c r="P45" s="21" t="n"/>
      <c r="Q45" s="21" t="n"/>
      <c r="R45" s="21" t="n"/>
      <c r="S45" s="21" t="n"/>
      <c r="T45" s="21" t="n"/>
      <c r="U45" s="21" t="n"/>
      <c r="V45" s="21" t="n"/>
      <c r="W45" s="21" t="n"/>
      <c r="X45" s="21" t="n"/>
      <c r="Y45" s="21" t="n"/>
      <c r="Z45" s="21" t="n"/>
    </row>
    <row r="46" hidden="1" ht="48" customHeight="1" s="20">
      <c r="A46" s="21" t="n"/>
      <c r="B46" s="26" t="inlineStr">
        <is>
          <t>PC-REP-01</t>
        </is>
      </c>
      <c r="C46" s="26" t="inlineStr">
        <is>
          <t>Como cliente lector, necesito descargar el reporte mensual de mi cuenta, con la finalidad de revisar los resultados sin depender de que me lo envíen.</t>
        </is>
      </c>
      <c r="D46" s="26" t="inlineStr">
        <is>
          <t>Descarga del reporte mensual</t>
        </is>
      </c>
      <c r="E46" s="26" t="inlineStr">
        <is>
          <t>Planificada</t>
        </is>
      </c>
      <c r="F46" s="27" t="n">
        <v>3</v>
      </c>
      <c r="G46" s="26" t="inlineStr">
        <is>
          <t>Sprint 4</t>
        </is>
      </c>
      <c r="H46" s="26" t="inlineStr">
        <is>
          <t>Alta</t>
        </is>
      </c>
      <c r="I46" s="26" t="inlineStr">
        <is>
          <t>E4 · Obj. 7 y 9 · El cliente descarga su reporte mensual en PDF desde el portal, sin esperar a que se lo envíen. Historia de la presentación del proyecto (diap. 10).</t>
        </is>
      </c>
      <c r="J46" s="26" t="inlineStr">
        <is>
          <t>1. El cliente descarga su reporte mensual en PDF desde el portal.
2. Solo puede descargar reportes de su empresa.
3. Solo se ven reportes aprobados por la agencia.</t>
        </is>
      </c>
      <c r="K46" s="27" t="inlineStr">
        <is>
          <t>—</t>
        </is>
      </c>
      <c r="L46" s="21" t="n"/>
      <c r="M46" s="21" t="n"/>
      <c r="N46" s="21" t="n"/>
      <c r="O46" s="21" t="n"/>
      <c r="P46" s="21" t="n"/>
      <c r="Q46" s="21" t="n"/>
      <c r="R46" s="21" t="n"/>
      <c r="S46" s="21" t="n"/>
      <c r="T46" s="21" t="n"/>
      <c r="U46" s="21" t="n"/>
      <c r="V46" s="21" t="n"/>
      <c r="W46" s="21" t="n"/>
      <c r="X46" s="21" t="n"/>
      <c r="Y46" s="21" t="n"/>
      <c r="Z46" s="21" t="n"/>
    </row>
    <row r="47" hidden="1" ht="48" customHeight="1" s="20">
      <c r="A47" s="21" t="n"/>
      <c r="B47" s="26" t="inlineStr">
        <is>
          <t>PC-QA-01</t>
        </is>
      </c>
      <c r="C47" s="26" t="inlineStr">
        <is>
          <t>Como equipo de desarrollo, necesito ejecutar pruebas de aislamiento, seguridad y rendimiento sobre toda la plataforma, con la finalidad de certificar la calidad de la solución antes de la entrega.</t>
        </is>
      </c>
      <c r="D47" s="26" t="inlineStr">
        <is>
          <t>Pruebas de seguridad y rendimiento</t>
        </is>
      </c>
      <c r="E47" s="26" t="inlineStr">
        <is>
          <t>Planificada</t>
        </is>
      </c>
      <c r="F47" s="27" t="n">
        <v>8</v>
      </c>
      <c r="G47" s="26" t="inlineStr">
        <is>
          <t>Sprint 5</t>
        </is>
      </c>
      <c r="H47" s="26" t="inlineStr">
        <is>
          <t>Alta</t>
        </is>
      </c>
      <c r="I47" s="26" t="inlineStr">
        <is>
          <t>T · Calidad · Cierre de pruebas con regresión completa: rendimiento, seguridad, aislamiento y respaldo. Meta: vistas principales bajo 3 segundos (RNF-05). Se prueba con CP-067 a CP-070.</t>
        </is>
      </c>
      <c r="J47" s="26" t="inlineStr">
        <is>
          <t>1. La regresión completa de casos de prioridad Alta se ejecuta sin fallas.
2. Las vistas principales responden en menos de 3 segundos con volumen realista.
3. Se prueba con éxito la restauración desde respaldo y la reversión de un despliegue.</t>
        </is>
      </c>
      <c r="K47" s="27" t="inlineStr">
        <is>
          <t>CP-067, CP-068, CP-069, CP-070</t>
        </is>
      </c>
      <c r="L47" s="21" t="n"/>
      <c r="M47" s="21" t="n"/>
      <c r="N47" s="21" t="n"/>
      <c r="O47" s="21" t="n"/>
      <c r="P47" s="21" t="n"/>
      <c r="Q47" s="21" t="n"/>
      <c r="R47" s="21" t="n"/>
      <c r="S47" s="21" t="n"/>
      <c r="T47" s="21" t="n"/>
      <c r="U47" s="21" t="n"/>
      <c r="V47" s="21" t="n"/>
      <c r="W47" s="21" t="n"/>
      <c r="X47" s="21" t="n"/>
      <c r="Y47" s="21" t="n"/>
      <c r="Z47" s="21" t="n"/>
    </row>
    <row r="48" hidden="1" ht="48" customHeight="1" s="20">
      <c r="A48" s="21" t="n"/>
      <c r="B48" s="26" t="inlineStr">
        <is>
          <t>PC-DEP-01</t>
        </is>
      </c>
      <c r="C48" s="26" t="inlineStr">
        <is>
          <t>Como equipo de desarrollo, necesito desplegar la plataforma en producción con datos de un cliente piloto, con la finalidad de demostrar que el ciclo completo funciona de extremo a extremo.</t>
        </is>
      </c>
      <c r="D48" s="26" t="inlineStr">
        <is>
          <t>Despliegue con cliente piloto</t>
        </is>
      </c>
      <c r="E48" s="26" t="inlineStr">
        <is>
          <t>Planificada</t>
        </is>
      </c>
      <c r="F48" s="27" t="n">
        <v>5</v>
      </c>
      <c r="G48" s="26" t="inlineStr">
        <is>
          <t>Sprint 5</t>
        </is>
      </c>
      <c r="H48" s="26" t="inlineStr">
        <is>
          <t>Alta</t>
        </is>
      </c>
      <c r="I48" s="26" t="inlineStr">
        <is>
          <t>T · Calidad · Pone la plataforma en producción con datos de un cliente piloto para demostrar el ciclo completo, incluida la marcha blanca con la agencia.</t>
        </is>
      </c>
      <c r="J48" s="26" t="inlineStr">
        <is>
          <t>1. La plataforma está desplegada en producción con datos de un cliente piloto.
2. El ciclo completo (prospecto, cliente, contenido, aprobación, reporte) funciona de extremo a extremo.
3. Existen respaldos automáticos configurados.</t>
        </is>
      </c>
      <c r="K48" s="27" t="inlineStr">
        <is>
          <t>—</t>
        </is>
      </c>
      <c r="L48" s="21" t="n"/>
      <c r="M48" s="21" t="n"/>
      <c r="N48" s="21" t="n"/>
      <c r="O48" s="21" t="n"/>
      <c r="P48" s="21" t="n"/>
      <c r="Q48" s="21" t="n"/>
      <c r="R48" s="21" t="n"/>
      <c r="S48" s="21" t="n"/>
      <c r="T48" s="21" t="n"/>
      <c r="U48" s="21" t="n"/>
      <c r="V48" s="21" t="n"/>
      <c r="W48" s="21" t="n"/>
      <c r="X48" s="21" t="n"/>
      <c r="Y48" s="21" t="n"/>
      <c r="Z48" s="21" t="n"/>
    </row>
    <row r="49" hidden="1" ht="48" customHeight="1" s="20">
      <c r="A49" s="21" t="n"/>
      <c r="B49" s="26" t="inlineStr">
        <is>
          <t>PC-DOC-01</t>
        </is>
      </c>
      <c r="C49" s="26" t="inlineStr">
        <is>
          <t>Como administradora, necesito documentación técnica y un manual de administración por rol, con la finalidad de operar y mantener la plataforma sin depender del equipo de desarrollo.</t>
        </is>
      </c>
      <c r="D49" s="26" t="inlineStr">
        <is>
          <t>Documentación técnica y manual</t>
        </is>
      </c>
      <c r="E49" s="26" t="inlineStr">
        <is>
          <t>Planificada</t>
        </is>
      </c>
      <c r="F49" s="27" t="n">
        <v>5</v>
      </c>
      <c r="G49" s="26" t="inlineStr">
        <is>
          <t>Sprint 5</t>
        </is>
      </c>
      <c r="H49" s="26" t="inlineStr">
        <is>
          <t>Alta</t>
        </is>
      </c>
      <c r="I49" s="26" t="inlineStr">
        <is>
          <t>T · Entregable final · Documentación técnica y Manual de administración por rol, para que la agencia opere la plataforma sin depender del equipo.</t>
        </is>
      </c>
      <c r="J49" s="26" t="inlineStr">
        <is>
          <t>1. Existe documentación técnica de arquitectura, instalación y despliegue.
2. Existe un manual de administración por rol.
3. La agencia revisa el manual y lo valida como comprensible.</t>
        </is>
      </c>
      <c r="K49" s="27" t="inlineStr">
        <is>
          <t>—</t>
        </is>
      </c>
      <c r="L49" s="21" t="n"/>
      <c r="M49" s="21" t="n"/>
      <c r="N49" s="21" t="n"/>
      <c r="O49" s="21" t="n"/>
      <c r="P49" s="21" t="n"/>
      <c r="Q49" s="21" t="n"/>
      <c r="R49" s="21" t="n"/>
      <c r="S49" s="21" t="n"/>
      <c r="T49" s="21" t="n"/>
      <c r="U49" s="21" t="n"/>
      <c r="V49" s="21" t="n"/>
      <c r="W49" s="21" t="n"/>
      <c r="X49" s="21" t="n"/>
      <c r="Y49" s="21" t="n"/>
      <c r="Z49" s="21" t="n"/>
    </row>
    <row r="50" hidden="1" ht="48" customHeight="1" s="20">
      <c r="A50" s="21" t="n"/>
      <c r="B50" s="26" t="inlineStr">
        <is>
          <t>PC-ACE-01</t>
        </is>
      </c>
      <c r="C50" s="26" t="inlineStr">
        <is>
          <t>Como administradora, necesito validar la solución en una sesión formal de aceptación, con la finalidad de dejar constancia de que la plataforma cumple lo acordado.</t>
        </is>
      </c>
      <c r="D50" s="26" t="inlineStr">
        <is>
          <t>Validación y acta de aceptación</t>
        </is>
      </c>
      <c r="E50" s="26" t="inlineStr">
        <is>
          <t>Planificada</t>
        </is>
      </c>
      <c r="F50" s="27" t="n">
        <v>3</v>
      </c>
      <c r="G50" s="26" t="inlineStr">
        <is>
          <t>Sprint 5</t>
        </is>
      </c>
      <c r="H50" s="26" t="inlineStr">
        <is>
          <t>Alta</t>
        </is>
      </c>
      <c r="I50" s="26" t="inlineStr">
        <is>
          <t>E1 · Hito 3 · Sesión formal de aceptación con la agencia, que queda registrada en el acta de aceptación. Cierra el proyecto.</t>
        </is>
      </c>
      <c r="J50" s="26" t="inlineStr">
        <is>
          <t>1. Se realiza la sesión formal de aceptación con la agencia.
2. Se verifican los criterios de aceptación de las historias comprometidas.
3. El acta de aceptación queda firmada por la agencia.</t>
        </is>
      </c>
      <c r="K50" s="27" t="inlineStr">
        <is>
          <t>—</t>
        </is>
      </c>
      <c r="L50" s="21" t="n"/>
      <c r="M50" s="21" t="n"/>
      <c r="N50" s="21" t="n"/>
      <c r="O50" s="21" t="n"/>
      <c r="P50" s="21" t="n"/>
      <c r="Q50" s="21" t="n"/>
      <c r="R50" s="21" t="n"/>
      <c r="S50" s="21" t="n"/>
      <c r="T50" s="21" t="n"/>
      <c r="U50" s="21" t="n"/>
      <c r="V50" s="21" t="n"/>
      <c r="W50" s="21" t="n"/>
      <c r="X50" s="21" t="n"/>
      <c r="Y50" s="21" t="n"/>
      <c r="Z50" s="21" t="n"/>
    </row>
    <row r="51" ht="48" customHeight="1" s="20">
      <c r="A51" s="21" t="n"/>
      <c r="B51" s="26" t="inlineStr">
        <is>
          <t>PC-AUT-07</t>
        </is>
      </c>
      <c r="C51" s="26" t="inlineStr">
        <is>
          <t>Como administradora, necesito dar acceso al portal a las personas de un cliente ya convertido, enviándoles una invitación por correo para que activen su cuenta definiendo su propia contraseña, con la finalidad de que solo entren clientes con plan contratado y sin que la agencia conozca sus contraseñas.</t>
        </is>
      </c>
      <c r="D51" s="26" t="inlineStr">
        <is>
          <t>Activación de cuenta del cliente</t>
        </is>
      </c>
      <c r="E51" s="26" t="inlineStr">
        <is>
          <t>En Proceso</t>
        </is>
      </c>
      <c r="F51" s="27" t="n">
        <v>5</v>
      </c>
      <c r="G51" s="26" t="inlineStr">
        <is>
          <t>Sprint 2</t>
        </is>
      </c>
      <c r="H51" s="26" t="inlineStr">
        <is>
          <t>Alta</t>
        </is>
      </c>
      <c r="I51" s="26" t="inlineStr">
        <is>
          <t>E1 · Obj. 1 y 9 · Mantiene el registro cerrado (PC-AUT-01, validado por la agencia en la Sprint Review S1): no hay autoregistro; la cuenta la crea la administradora desde la ficha del cliente cuando se confirma el pago (fuera de la plataforma) y la persona la activa desde un enlace por correo. Historia nueva, detectada por el equipo al revisar el flujo prospecto → cliente. Depende de PC-AUT-03 y PC-CLI-01. El envío real del correo depende de configurar el proveedor de correo (tarjeta «Configurar envío de correos»). Incorporada al Sprint 2 el 22 oct 2026 por decisión del equipo (5 pts es una propuesta del equipo). Pendiente: presentar el flujo a la agencia (aún no lo conoce) y validarlo con ella.</t>
        </is>
      </c>
      <c r="J51" s="26" t="inlineStr">
        <is>
          <t>1. Desde la ficha del cliente, la administradora crea la cuenta indicando nombre, correo y rol (Cliente aprobador o Cliente lector); la cuenta queda asociada a esa empresa. No existe registro público.
2. Al crearla se envía un correo con un enlace personal de activación; la cuenta queda «Pendiente de activación» y no puede iniciar sesión hasta activarse.
3. Desde el enlace, la persona define su contraseña (cumpliendo la política de contraseñas) y entra directamente al portal de su empresa.
4. El enlace sirve una sola vez y vence a los 3 días; la administradora puede reenviar la invitación o copiar el enlace.
5. Solo la administradora puede dar acceso; la creación, el reenvío y la activación quedan en el registro de auditoría.</t>
        </is>
      </c>
      <c r="K51" s="27" t="inlineStr">
        <is>
          <t>CP-015 · casos nuevos de activación por agregar al Plan de Pruebas</t>
        </is>
      </c>
      <c r="L51" s="21" t="n"/>
      <c r="M51" s="21" t="n"/>
      <c r="N51" s="21" t="n"/>
      <c r="O51" s="21" t="n"/>
      <c r="P51" s="21" t="n"/>
      <c r="Q51" s="21" t="n"/>
      <c r="R51" s="21" t="n"/>
      <c r="S51" s="21" t="n"/>
      <c r="T51" s="21" t="n"/>
      <c r="U51" s="21" t="n"/>
      <c r="V51" s="21" t="n"/>
      <c r="W51" s="21" t="n"/>
      <c r="X51" s="21" t="n"/>
      <c r="Y51" s="21" t="n"/>
      <c r="Z51" s="21" t="n"/>
    </row>
    <row r="52" ht="15.75" customHeight="1" s="20">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20">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20">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20">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20">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20">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20">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20">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2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20">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20">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20">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20">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20">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20">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20">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20">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20">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2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20">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20">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20">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20">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20">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20">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20">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20">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20">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2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20">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20">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20">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20">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20">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20">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20">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20">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20">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2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20">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20">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20">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20">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20">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20">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20">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20">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20">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2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20">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20">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20">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20">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20">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20">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20">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20">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20">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2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20">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20">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20">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20">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20">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20">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20">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20">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20">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20">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20">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20">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20">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20">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20">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20">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20">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20">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2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20">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20">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20">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20">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20">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20">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20">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20">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20">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2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20">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20">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20">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20">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20">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20">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20">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20">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20">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2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20">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20">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20">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20">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20">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20">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20">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20">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20">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2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20">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20">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20">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20">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20">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20">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20">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20">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20">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2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20">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20">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20">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20">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20">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20">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20">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20">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20">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2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20">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20">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20">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20">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20">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20">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20">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20">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20">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2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20">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20">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20">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20">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20">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20">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20">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20">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20">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2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20">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20">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20">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20">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20">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20">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20">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20">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20">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2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20">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20">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20">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20">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20">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20">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20">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20">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20">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20">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20">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20">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20">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20">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20">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20">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20">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20">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2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20">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20">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20">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20">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20">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20">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20">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20">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20">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2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20">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20">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20">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20">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ht="15.75" customHeight="1" s="20">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ht="15.75" customHeight="1" s="20">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ht="15.75" customHeight="1" s="20">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ht="15.75" customHeight="1" s="20">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ht="15.75" customHeight="1" s="20">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ht="15.75" customHeight="1" s="2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ht="15.75" customHeight="1" s="20">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ht="15.75" customHeight="1" s="20">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ht="15.75" customHeight="1" s="20">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ht="15.75" customHeight="1" s="20">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ht="15.75" customHeight="1" s="20">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ht="15.75" customHeight="1" s="20">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ht="15.75" customHeight="1" s="20">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ht="15.75" customHeight="1" s="20">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ht="15.75" customHeight="1" s="20">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ht="15.75" customHeight="1" s="2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ht="15.75" customHeight="1" s="20">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ht="15.75" customHeight="1" s="20">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ht="15.75" customHeight="1" s="20">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ht="15.75" customHeight="1" s="20">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ht="15.75" customHeight="1" s="20">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ht="15.75" customHeight="1" s="20">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ht="15.75" customHeight="1" s="20">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ht="15.75" customHeight="1" s="20">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ht="15.75" customHeight="1" s="20">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ht="15.75" customHeight="1" s="2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ht="15.75" customHeight="1" s="20">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ht="15.75" customHeight="1" s="20">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ht="15.75" customHeight="1" s="20">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ht="15.75" customHeight="1" s="20">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ht="15.75" customHeight="1" s="20">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ht="15.75" customHeight="1" s="20">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ht="15.75" customHeight="1" s="20">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ht="15.75" customHeight="1" s="20">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ht="15.75" customHeight="1" s="20">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ht="15.75" customHeight="1" s="2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ht="15.75" customHeight="1" s="20">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ht="15.75" customHeight="1" s="20">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ht="15.75" customHeight="1" s="20">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ht="15.75" customHeight="1" s="20">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ht="15.75" customHeight="1" s="20">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ht="15.75" customHeight="1" s="20">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ht="15.75" customHeight="1" s="20">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ht="15.75" customHeight="1" s="20">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ht="15.75" customHeight="1" s="20">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ht="15.75" customHeight="1" s="2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ht="15.75" customHeight="1" s="20">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ht="15.75" customHeight="1" s="20">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ht="15.75" customHeight="1" s="20">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ht="15.75" customHeight="1" s="20">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ht="15.75" customHeight="1" s="20">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20">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20">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20">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20">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2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20">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20">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20">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20">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20">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20">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20">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ht="15.75" customHeight="1" s="20">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ht="15.75" customHeight="1" s="20">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ht="15.75" customHeight="1" s="2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ht="15.75" customHeight="1" s="20">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ht="15.75" customHeight="1" s="20">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ht="15.75" customHeight="1" s="20">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ht="15.75" customHeight="1" s="20">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ht="15.75" customHeight="1" s="20">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ht="15.75" customHeight="1" s="20">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ht="15.75" customHeight="1" s="20">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ht="15.75" customHeight="1" s="20">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ht="15.75" customHeight="1" s="20">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ht="15.75" customHeight="1" s="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ht="15.75" customHeight="1" s="20">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ht="15.75" customHeight="1" s="20">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ht="15.75" customHeight="1" s="20">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ht="15.75" customHeight="1" s="20">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ht="15.75" customHeight="1" s="20">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ht="15.75" customHeight="1" s="20">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ht="15.75" customHeight="1" s="20">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ht="15.75" customHeight="1" s="20">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ht="15.75" customHeight="1" s="20">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ht="15.75" customHeight="1" s="2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ht="15.75" customHeight="1" s="20">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ht="15.75" customHeight="1" s="20">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ht="15.75" customHeight="1" s="20">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ht="15.75" customHeight="1" s="20">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ht="15.75" customHeight="1" s="20">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ht="15.75" customHeight="1" s="20">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ht="15.75" customHeight="1" s="20">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ht="15.75" customHeight="1" s="20">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ht="15.75" customHeight="1" s="20">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ht="15.75" customHeight="1" s="2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ht="15.75" customHeight="1" s="20">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ht="15.75" customHeight="1" s="20">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ht="15.75" customHeight="1" s="20">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ht="15.75" customHeight="1" s="20">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ht="15.75" customHeight="1" s="20">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ht="15.75" customHeight="1" s="20">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ht="15.75" customHeight="1" s="20">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ht="15.75" customHeight="1" s="20">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ht="15.75" customHeight="1" s="20">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ht="15.75" customHeight="1" s="2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ht="15.75" customHeight="1" s="20">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ht="15.75" customHeight="1" s="20">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ht="15.75" customHeight="1" s="20">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ht="15.75" customHeight="1" s="20">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ht="15.75" customHeight="1" s="20">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ht="15.75" customHeight="1" s="20">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ht="15.75" customHeight="1" s="20">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20">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20">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2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20">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ht="15.75" customHeight="1" s="20">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ht="15.75" customHeight="1" s="20">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ht="15.75" customHeight="1" s="20">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ht="15.75" customHeight="1" s="20">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ht="15.75" customHeight="1" s="20">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ht="15.75" customHeight="1" s="20">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ht="15.75" customHeight="1" s="20">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ht="15.75" customHeight="1" s="20">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ht="15.75" customHeight="1" s="2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ht="15.75" customHeight="1" s="20">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ht="15.75" customHeight="1" s="20">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ht="15.75" customHeight="1" s="20">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ht="15.75" customHeight="1" s="20">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ht="15.75" customHeight="1" s="20">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ht="15.75" customHeight="1" s="20">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ht="15.75" customHeight="1" s="20">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ht="15.75" customHeight="1" s="20">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ht="15.75" customHeight="1" s="20">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ht="15.75" customHeight="1" s="2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ht="15.75" customHeight="1" s="20">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ht="15.75" customHeight="1" s="20">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ht="15.75" customHeight="1" s="20">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ht="15.75" customHeight="1" s="20">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ht="15.75" customHeight="1" s="20">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ht="15.75" customHeight="1" s="20">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ht="15.75" customHeight="1" s="20">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ht="15.75" customHeight="1" s="20">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ht="15.75" customHeight="1" s="20">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ht="15.75" customHeight="1" s="2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ht="15.75" customHeight="1" s="20">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ht="15.75" customHeight="1" s="20">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ht="15.75" customHeight="1" s="20">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ht="15.75" customHeight="1" s="20">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ht="15.75" customHeight="1" s="20">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ht="15.75" customHeight="1" s="20">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ht="15.75" customHeight="1" s="20">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ht="15.75" customHeight="1" s="20">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ht="15.75" customHeight="1" s="20">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ht="15.75" customHeight="1" s="2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ht="15.75" customHeight="1" s="20">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ht="15.75" customHeight="1" s="20">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ht="15.75" customHeight="1" s="20">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ht="15.75" customHeight="1" s="20">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ht="15.75" customHeight="1" s="20">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ht="15.75" customHeight="1" s="20">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ht="15.75" customHeight="1" s="20">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ht="15.75" customHeight="1" s="20">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ht="15.75" customHeight="1" s="20">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ht="15.75" customHeight="1" s="2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ht="15.75" customHeight="1" s="20">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ht="15.75" customHeight="1" s="20">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ht="15.75" customHeight="1" s="20">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ht="15.75" customHeight="1" s="20">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ht="15.75" customHeight="1" s="20">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ht="15.75" customHeight="1" s="20">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ht="15.75" customHeight="1" s="20">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ht="15.75" customHeight="1" s="20">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ht="15.75" customHeight="1" s="20">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ht="15.75" customHeight="1" s="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ht="15.75" customHeight="1" s="20">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ht="15.75" customHeight="1" s="20">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ht="15.75" customHeight="1" s="20">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ht="15.75" customHeight="1" s="20">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ht="15.75" customHeight="1" s="20">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ht="15.75" customHeight="1" s="20">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ht="15.75" customHeight="1" s="20">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ht="15.75" customHeight="1" s="20">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ht="15.75" customHeight="1" s="20">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ht="15.75" customHeight="1" s="2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ht="15.75" customHeight="1" s="20">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ht="15.75" customHeight="1" s="20">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ht="15.75" customHeight="1" s="20">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ht="15.75" customHeight="1" s="20">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ht="15.75" customHeight="1" s="20">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ht="15.75" customHeight="1" s="20">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ht="15.75" customHeight="1" s="20">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ht="15.75" customHeight="1" s="20">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ht="15.75" customHeight="1" s="20">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ht="15.75" customHeight="1" s="2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ht="15.75" customHeight="1" s="20">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ht="15.75" customHeight="1" s="20">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ht="15.75" customHeight="1" s="20">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ht="15.75" customHeight="1" s="20">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ht="15.75" customHeight="1" s="20">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ht="15.75" customHeight="1" s="20">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ht="15.75" customHeight="1" s="20">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ht="15.75" customHeight="1" s="20">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ht="15.75" customHeight="1" s="20">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ht="15.75" customHeight="1" s="2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ht="15.75" customHeight="1" s="20">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ht="15.75" customHeight="1" s="20">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ht="15.75" customHeight="1" s="20">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ht="15.75" customHeight="1" s="20">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ht="15.75" customHeight="1" s="20">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ht="15.75" customHeight="1" s="20">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ht="15.75" customHeight="1" s="20">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ht="15.75" customHeight="1" s="20">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ht="15.75" customHeight="1" s="20">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ht="15.75" customHeight="1" s="2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ht="15.75" customHeight="1" s="20">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ht="15.75" customHeight="1" s="20">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ht="15.75" customHeight="1" s="20">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ht="15.75" customHeight="1" s="20">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ht="15.75" customHeight="1" s="20">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ht="15.75" customHeight="1" s="20">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ht="15.75" customHeight="1" s="20">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ht="15.75" customHeight="1" s="20">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ht="15.75" customHeight="1" s="20">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ht="15.75" customHeight="1" s="2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ht="15.75" customHeight="1" s="20">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ht="15.75" customHeight="1" s="20">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ht="15.75" customHeight="1" s="20">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ht="15.75" customHeight="1" s="20">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ht="15.75" customHeight="1" s="20">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ht="15.75" customHeight="1" s="20">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ht="15.75" customHeight="1" s="20">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ht="15.75" customHeight="1" s="20">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ht="15.75" customHeight="1" s="20">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ht="15.75" customHeight="1" s="2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ht="15.75" customHeight="1" s="20">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ht="15.75" customHeight="1" s="20">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ht="15.75" customHeight="1" s="20">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ht="15.75" customHeight="1" s="20">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ht="15.75" customHeight="1" s="20">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ht="15.75" customHeight="1" s="20">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ht="15.75" customHeight="1" s="20">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ht="15.75" customHeight="1" s="20">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ht="15.75" customHeight="1" s="20">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ht="15.75" customHeight="1" s="2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ht="15.75" customHeight="1" s="20">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ht="15.75" customHeight="1" s="20">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ht="15.75" customHeight="1" s="20">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ht="15.75" customHeight="1" s="20">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ht="15.75" customHeight="1" s="20">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ht="15.75" customHeight="1" s="20">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ht="15.75" customHeight="1" s="20">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ht="15.75" customHeight="1" s="20">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ht="15.75" customHeight="1" s="20">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ht="15.75" customHeight="1" s="2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ht="15.75" customHeight="1" s="20">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ht="15.75" customHeight="1" s="20">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ht="15.75" customHeight="1" s="20">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ht="15.75" customHeight="1" s="20">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ht="15.75" customHeight="1" s="20">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ht="15.75" customHeight="1" s="20">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ht="15.75" customHeight="1" s="20">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ht="15.75" customHeight="1" s="20">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ht="15.75" customHeight="1" s="20">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ht="15.75" customHeight="1" s="2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ht="15.75" customHeight="1" s="20">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ht="15.75" customHeight="1" s="20">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ht="15.75" customHeight="1" s="20">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ht="15.75" customHeight="1" s="20">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ht="15.75" customHeight="1" s="20">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ht="15.75" customHeight="1" s="20">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ht="15.75" customHeight="1" s="20">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ht="15.75" customHeight="1" s="20">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ht="15.75" customHeight="1" s="20">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ht="15.75" customHeight="1" s="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ht="15.75" customHeight="1" s="20">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ht="15.75" customHeight="1" s="20">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ht="15.75" customHeight="1" s="20">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ht="15.75" customHeight="1" s="20">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ht="15.75" customHeight="1" s="20">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ht="15.75" customHeight="1" s="20">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ht="15.75" customHeight="1" s="20">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ht="15.75" customHeight="1" s="20">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ht="15.75" customHeight="1" s="20">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ht="15.75" customHeight="1" s="2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ht="15.75" customHeight="1" s="20">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ht="15.75" customHeight="1" s="20">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ht="15.75" customHeight="1" s="20">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ht="15.75" customHeight="1" s="20">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ht="15.75" customHeight="1" s="20">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ht="15.75" customHeight="1" s="20">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ht="15.75" customHeight="1" s="20">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ht="15.75" customHeight="1" s="20">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ht="15.75" customHeight="1" s="20">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ht="15.75" customHeight="1" s="2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ht="15.75" customHeight="1" s="20">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ht="15.75" customHeight="1" s="20">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ht="15.75" customHeight="1" s="20">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ht="15.75" customHeight="1" s="20">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ht="15.75" customHeight="1" s="20">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ht="15.75" customHeight="1" s="20">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ht="15.75" customHeight="1" s="20">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ht="15.75" customHeight="1" s="20">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ht="15.75" customHeight="1" s="20">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ht="15.75" customHeight="1" s="2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ht="15.75" customHeight="1" s="20">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ht="15.75" customHeight="1" s="20">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ht="15.75" customHeight="1" s="20">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ht="15.75" customHeight="1" s="20">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ht="15.75" customHeight="1" s="20">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ht="15.75" customHeight="1" s="20">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ht="15.75" customHeight="1" s="20">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ht="15.75" customHeight="1" s="20">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ht="15.75" customHeight="1" s="20">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ht="15.75" customHeight="1" s="2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ht="15.75" customHeight="1" s="20">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ht="15.75" customHeight="1" s="20">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ht="15.75" customHeight="1" s="20">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ht="15.75" customHeight="1" s="20">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ht="15.75" customHeight="1" s="20">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ht="15.75" customHeight="1" s="20">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ht="15.75" customHeight="1" s="20">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ht="15.75" customHeight="1" s="20">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ht="15.75" customHeight="1" s="20">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ht="15.75" customHeight="1" s="2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ht="15.75" customHeight="1" s="20">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ht="15.75" customHeight="1" s="20">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ht="15.75" customHeight="1" s="20">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ht="15.75" customHeight="1" s="20">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ht="15.75" customHeight="1" s="20">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ht="15.75" customHeight="1" s="20">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ht="15.75" customHeight="1" s="20">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ht="15.75" customHeight="1" s="20">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ht="15.75" customHeight="1" s="20">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ht="15.75" customHeight="1" s="2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ht="15.75" customHeight="1" s="20">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ht="15.75" customHeight="1" s="20">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ht="15.75" customHeight="1" s="20">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ht="15.75" customHeight="1" s="20">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ht="15.75" customHeight="1" s="20">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ht="15.75" customHeight="1" s="20">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ht="15.75" customHeight="1" s="20">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ht="15.75" customHeight="1" s="20">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ht="15.75" customHeight="1" s="20">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ht="15.75" customHeight="1" s="2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ht="15.75" customHeight="1" s="20">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ht="15.75" customHeight="1" s="20">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ht="15.75" customHeight="1" s="20">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ht="15.75" customHeight="1" s="20">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ht="15.75" customHeight="1" s="20">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ht="15.75" customHeight="1" s="20">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ht="15.75" customHeight="1" s="20">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ht="15.75" customHeight="1" s="20">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ht="15.75" customHeight="1" s="20">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ht="15.75" customHeight="1" s="2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ht="15.75" customHeight="1" s="20">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ht="15.75" customHeight="1" s="20">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ht="15.75" customHeight="1" s="20">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ht="15.75" customHeight="1" s="20">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ht="15.75" customHeight="1" s="20">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ht="15.75" customHeight="1" s="20">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ht="15.75" customHeight="1" s="20">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ht="15.75" customHeight="1" s="20">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ht="15.75" customHeight="1" s="20">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ht="15.75" customHeight="1" s="2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ht="15.75" customHeight="1" s="20">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ht="15.75" customHeight="1" s="20">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ht="15.75" customHeight="1" s="20">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ht="15.75" customHeight="1" s="20">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ht="15.75" customHeight="1" s="20">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ht="15.75" customHeight="1" s="20">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ht="15.75" customHeight="1" s="20">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ht="15.75" customHeight="1" s="20">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ht="15.75" customHeight="1" s="20">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ht="15.75" customHeight="1" s="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ht="15.75" customHeight="1" s="20">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ht="15.75" customHeight="1" s="20">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ht="15.75" customHeight="1" s="20">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ht="15.75" customHeight="1" s="20">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ht="15.75" customHeight="1" s="20">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ht="15.75" customHeight="1" s="20">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ht="15.75" customHeight="1" s="20">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ht="15.75" customHeight="1" s="20">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ht="15.75" customHeight="1" s="20">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ht="15.75" customHeight="1" s="2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ht="15.75" customHeight="1" s="20">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ht="15.75" customHeight="1" s="20">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ht="15.75" customHeight="1" s="20">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ht="15.75" customHeight="1" s="20">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ht="15.75" customHeight="1" s="20">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ht="15.75" customHeight="1" s="20">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ht="15.75" customHeight="1" s="20">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ht="15.75" customHeight="1" s="20">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ht="15.75" customHeight="1" s="20">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ht="15.75" customHeight="1" s="2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ht="15.75" customHeight="1" s="20">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ht="15.75" customHeight="1" s="20">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ht="15.75" customHeight="1" s="20">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ht="15.75" customHeight="1" s="20">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ht="15.75" customHeight="1" s="20">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ht="15.75" customHeight="1" s="20">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ht="15.75" customHeight="1" s="20">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ht="15.75" customHeight="1" s="20">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ht="15.75" customHeight="1" s="20">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ht="15.75" customHeight="1" s="2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ht="15.75" customHeight="1" s="20">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ht="15.75" customHeight="1" s="20">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ht="15.75" customHeight="1" s="20">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ht="15.75" customHeight="1" s="20">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ht="15.75" customHeight="1" s="20">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ht="15.75" customHeight="1" s="20">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ht="15.75" customHeight="1" s="20">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ht="15.75" customHeight="1" s="20">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ht="15.75" customHeight="1" s="20">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ht="15.75" customHeight="1" s="2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ht="15.75" customHeight="1" s="20">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ht="15.75" customHeight="1" s="20">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ht="15.75" customHeight="1" s="20">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ht="15.75" customHeight="1" s="20">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ht="15.75" customHeight="1" s="20">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ht="15.75" customHeight="1" s="20">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ht="15.75" customHeight="1" s="20">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ht="15.75" customHeight="1" s="20">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ht="15.75" customHeight="1" s="20">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ht="15.75" customHeight="1" s="2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ht="15.75" customHeight="1" s="20">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ht="15.75" customHeight="1" s="20">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ht="15.75" customHeight="1" s="20">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ht="15.75" customHeight="1" s="20">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ht="15.75" customHeight="1" s="20">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ht="15.75" customHeight="1" s="20">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ht="15.75" customHeight="1" s="20">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ht="15.75" customHeight="1" s="20">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ht="15.75" customHeight="1" s="20">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ht="15.75" customHeight="1" s="2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ht="15.75" customHeight="1" s="20">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ht="15.75" customHeight="1" s="20">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ht="15.75" customHeight="1" s="20">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ht="15.75" customHeight="1" s="20">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ht="15.75" customHeight="1" s="20">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ht="15.75" customHeight="1" s="20">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ht="15.75" customHeight="1" s="20">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ht="15.75" customHeight="1" s="20">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ht="15.75" customHeight="1" s="20">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ht="15.75" customHeight="1" s="2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ht="15.75" customHeight="1" s="20">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ht="15.75" customHeight="1" s="20">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ht="15.75" customHeight="1" s="20">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ht="15.75" customHeight="1" s="20">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ht="15.75" customHeight="1" s="20">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ht="15.75" customHeight="1" s="20">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ht="15.75" customHeight="1" s="20">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ht="15.75" customHeight="1" s="20">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ht="15.75" customHeight="1" s="20">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ht="15.75" customHeight="1" s="2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ht="15.75" customHeight="1" s="20">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ht="15.75" customHeight="1" s="20">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ht="15.75" customHeight="1" s="20">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ht="15.75" customHeight="1" s="20">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ht="15.75" customHeight="1" s="20">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ht="15.75" customHeight="1" s="20">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ht="15.75" customHeight="1" s="20">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ht="15.75" customHeight="1" s="20">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ht="15.75" customHeight="1" s="20">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ht="15.75" customHeight="1" s="2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ht="15.75" customHeight="1" s="20">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ht="15.75" customHeight="1" s="20">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ht="15.75" customHeight="1" s="20">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ht="15.75" customHeight="1" s="20">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ht="15.75" customHeight="1" s="20">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ht="15.75" customHeight="1" s="20">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ht="15.75" customHeight="1" s="20">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ht="15.75" customHeight="1" s="20">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ht="15.75" customHeight="1" s="20">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ht="15.75" customHeight="1" s="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ht="15.75" customHeight="1" s="20">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ht="15.75" customHeight="1" s="20">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ht="15.75" customHeight="1" s="20">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ht="15.75" customHeight="1" s="20">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ht="15.75" customHeight="1" s="20">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ht="15.75" customHeight="1" s="20">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ht="15.75" customHeight="1" s="20">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ht="15.75" customHeight="1" s="20">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ht="15.75" customHeight="1" s="20">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ht="15.75" customHeight="1" s="2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ht="15.75" customHeight="1" s="20">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ht="15.75" customHeight="1" s="20">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ht="15.75" customHeight="1" s="20">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ht="15.75" customHeight="1" s="20">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ht="15.75" customHeight="1" s="20">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ht="15.75" customHeight="1" s="20">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ht="15.75" customHeight="1" s="20">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ht="15.75" customHeight="1" s="20">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ht="15.75" customHeight="1" s="20">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ht="15.75" customHeight="1" s="2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ht="15.75" customHeight="1" s="20">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ht="15.75" customHeight="1" s="20">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ht="15.75" customHeight="1" s="20">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ht="15.75" customHeight="1" s="20">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ht="15.75" customHeight="1" s="20">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ht="15.75" customHeight="1" s="20">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ht="15.75" customHeight="1" s="20">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ht="15.75" customHeight="1" s="20">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ht="15.75" customHeight="1" s="20">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ht="15.75" customHeight="1" s="2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ht="15.75" customHeight="1" s="20">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ht="15.75" customHeight="1" s="20">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ht="15.75" customHeight="1" s="20">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ht="15.75" customHeight="1" s="20">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ht="15.75" customHeight="1" s="20">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ht="15.75" customHeight="1" s="20">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ht="15.75" customHeight="1" s="20">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ht="15.75" customHeight="1" s="20">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ht="15.75" customHeight="1" s="20">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ht="15.75" customHeight="1" s="2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ht="15.75" customHeight="1" s="20">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ht="15.75" customHeight="1" s="20">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ht="15.75" customHeight="1" s="20">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ht="15.75" customHeight="1" s="20">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ht="15.75" customHeight="1" s="20">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ht="15.75" customHeight="1" s="20">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ht="15.75" customHeight="1" s="20">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ht="15.75" customHeight="1" s="20">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ht="15.75" customHeight="1" s="20">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ht="15.75" customHeight="1" s="2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ht="15.75" customHeight="1" s="20">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ht="15.75" customHeight="1" s="20">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ht="15.75" customHeight="1" s="20">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ht="15.75" customHeight="1" s="20">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ht="15.75" customHeight="1" s="20">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ht="15.75" customHeight="1" s="20">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ht="15.75" customHeight="1" s="20">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ht="15.75" customHeight="1" s="20">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ht="15.75" customHeight="1" s="20">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ht="15.75" customHeight="1" s="2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ht="15.75" customHeight="1" s="20">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ht="15.75" customHeight="1" s="20">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ht="15.75" customHeight="1" s="20">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ht="15.75" customHeight="1" s="20">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ht="15.75" customHeight="1" s="20">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ht="15.75" customHeight="1" s="20">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ht="15.75" customHeight="1" s="20">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ht="15.75" customHeight="1" s="20">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ht="15.75" customHeight="1" s="20">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ht="15.75" customHeight="1" s="2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ht="15.75" customHeight="1" s="20">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ht="15.75" customHeight="1" s="20">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ht="15.75" customHeight="1" s="20">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ht="15.75" customHeight="1" s="20">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ht="15.75" customHeight="1" s="20">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ht="15.75" customHeight="1" s="20">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ht="15.75" customHeight="1" s="20">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ht="15.75" customHeight="1" s="20">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ht="15.75" customHeight="1" s="20">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ht="15.75" customHeight="1" s="2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ht="15.75" customHeight="1" s="20">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ht="15.75" customHeight="1" s="20">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ht="15.75" customHeight="1" s="20">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ht="15.75" customHeight="1" s="20">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ht="15.75" customHeight="1" s="20">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ht="15.75" customHeight="1" s="20">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ht="15.75" customHeight="1" s="20">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ht="15.75" customHeight="1" s="20">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ht="15.75" customHeight="1" s="20">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ht="15.75" customHeight="1" s="2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ht="15.75" customHeight="1" s="20">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ht="15.75" customHeight="1" s="20">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ht="15.75" customHeight="1" s="20">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ht="15.75" customHeight="1" s="20">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ht="15.75" customHeight="1" s="20">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ht="15.75" customHeight="1" s="20">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ht="15.75" customHeight="1" s="20">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ht="15.75" customHeight="1" s="20">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ht="15.75" customHeight="1" s="20">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ht="15.75" customHeight="1" s="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ht="15.75" customHeight="1" s="20">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ht="15.75" customHeight="1" s="20">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ht="15.75" customHeight="1" s="20">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ht="15.75" customHeight="1" s="20">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ht="15.75" customHeight="1" s="20">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ht="15.75" customHeight="1" s="20">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ht="15.75" customHeight="1" s="20">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ht="15.75" customHeight="1" s="20">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ht="15.75" customHeight="1" s="20">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ht="15.75" customHeight="1" s="2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ht="15.75" customHeight="1" s="20">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ht="15.75" customHeight="1" s="20">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ht="15.75" customHeight="1" s="20">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ht="15.75" customHeight="1" s="20">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ht="15.75" customHeight="1" s="20">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ht="15.75" customHeight="1" s="20">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ht="15.75" customHeight="1" s="20">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ht="15.75" customHeight="1" s="20">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ht="15.75" customHeight="1" s="20">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ht="15.75" customHeight="1" s="2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ht="15.75" customHeight="1" s="20">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ht="15.75" customHeight="1" s="20">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ht="15.75" customHeight="1" s="20">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ht="15.75" customHeight="1" s="20">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ht="15.75" customHeight="1" s="20">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ht="15.75" customHeight="1" s="20">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ht="15.75" customHeight="1" s="20">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ht="15.75" customHeight="1" s="20">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ht="15.75" customHeight="1" s="20">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ht="15.75" customHeight="1" s="2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ht="15.75" customHeight="1" s="20">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ht="15.75" customHeight="1" s="20">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ht="15.75" customHeight="1" s="20">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ht="15.75" customHeight="1" s="20">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ht="15.75" customHeight="1" s="20">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ht="15.75" customHeight="1" s="20">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ht="15.75" customHeight="1" s="20">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ht="15.75" customHeight="1" s="20">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ht="15.75" customHeight="1" s="20">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ht="15.75" customHeight="1" s="2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ht="15.75" customHeight="1" s="20">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ht="15.75" customHeight="1" s="20">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ht="15.75" customHeight="1" s="20">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ht="15.75" customHeight="1" s="20">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ht="15.75" customHeight="1" s="20">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ht="15.75" customHeight="1" s="20">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ht="15.75" customHeight="1" s="20">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ht="15.75" customHeight="1" s="20">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ht="15.75" customHeight="1" s="20">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ht="15.75" customHeight="1" s="2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ht="15.75" customHeight="1" s="20">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ht="15.75" customHeight="1" s="20">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ht="15.75" customHeight="1" s="20">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ht="15.75" customHeight="1" s="20">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ht="15.75" customHeight="1" s="20">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ht="15.75" customHeight="1" s="20">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ht="15.75" customHeight="1" s="20">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ht="15.75" customHeight="1" s="20">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ht="15.75" customHeight="1" s="20">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ht="15.75" customHeight="1" s="2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ht="15.75" customHeight="1" s="20">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ht="15.75" customHeight="1" s="20">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ht="15.75" customHeight="1" s="20">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ht="15.75" customHeight="1" s="20">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ht="15.75" customHeight="1" s="20">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ht="15.75" customHeight="1" s="20">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ht="15.75" customHeight="1" s="20">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ht="15.75" customHeight="1" s="20">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ht="15.75" customHeight="1" s="20">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ht="15.75" customHeight="1" s="2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ht="15.75" customHeight="1" s="20">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ht="15.75" customHeight="1" s="20">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ht="15.75" customHeight="1" s="20">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ht="15.75" customHeight="1" s="20">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ht="15.75" customHeight="1" s="20">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ht="15.75" customHeight="1" s="20">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ht="15.75" customHeight="1" s="20">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ht="15.75" customHeight="1" s="20">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ht="15.75" customHeight="1" s="20">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ht="15.75" customHeight="1" s="2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ht="15.75" customHeight="1" s="20">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ht="15.75" customHeight="1" s="20">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ht="15.75" customHeight="1" s="20">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ht="15.75" customHeight="1" s="20">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ht="15.75" customHeight="1" s="20">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ht="15.75" customHeight="1" s="20">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ht="15.75" customHeight="1" s="20">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ht="15.75" customHeight="1" s="20">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ht="15.75" customHeight="1" s="20">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ht="15.75" customHeight="1" s="2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ht="15.75" customHeight="1" s="20">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ht="15.75" customHeight="1" s="20">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ht="15.75" customHeight="1" s="20">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ht="15.75" customHeight="1" s="20">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ht="15.75" customHeight="1" s="20">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ht="15.75" customHeight="1" s="20">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ht="15.75" customHeight="1" s="20">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ht="15.75" customHeight="1" s="20">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ht="15.75" customHeight="1" s="20">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ht="15.75" customHeight="1" s="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ht="15.75" customHeight="1" s="20">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ht="15.75" customHeight="1" s="20">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ht="15.75" customHeight="1" s="20">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ht="15.75" customHeight="1" s="20">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ht="15.75" customHeight="1" s="20">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ht="15.75" customHeight="1" s="20">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ht="15.75" customHeight="1" s="20">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ht="15.75" customHeight="1" s="20">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ht="15.75" customHeight="1" s="20">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ht="15.75" customHeight="1" s="2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ht="15.75" customHeight="1" s="20">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ht="15.75" customHeight="1" s="20">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ht="15.75" customHeight="1" s="20">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ht="15.75" customHeight="1" s="20">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ht="15.75" customHeight="1" s="20">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ht="15.75" customHeight="1" s="20">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ht="15.75" customHeight="1" s="20">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ht="15.75" customHeight="1" s="20">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ht="15.75" customHeight="1" s="20">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ht="15.75" customHeight="1" s="2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ht="15.75" customHeight="1" s="20">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ht="15.75" customHeight="1" s="20">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ht="15.75" customHeight="1" s="20">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ht="15.75" customHeight="1" s="20">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ht="15.75" customHeight="1" s="20">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ht="15.75" customHeight="1" s="20">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ht="15.75" customHeight="1" s="20">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ht="15.75" customHeight="1" s="20">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ht="15.75" customHeight="1" s="20">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ht="15.75" customHeight="1" s="2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ht="15.75" customHeight="1" s="20">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ht="15.75" customHeight="1" s="20">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ht="15.75" customHeight="1" s="20">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ht="15.75" customHeight="1" s="20">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ht="15.75" customHeight="1" s="20">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ht="15.75" customHeight="1" s="20">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ht="15.75" customHeight="1" s="20">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ht="15.75" customHeight="1" s="20">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ht="15.75" customHeight="1" s="20">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ht="15.75" customHeight="1" s="2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ht="15.75" customHeight="1" s="20">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ht="15.75" customHeight="1" s="20">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ht="15.75" customHeight="1" s="20">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ht="15.75" customHeight="1" s="20">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ht="15.75" customHeight="1" s="20">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ht="15.75" customHeight="1" s="20">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ht="15.75" customHeight="1" s="20">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ht="15.75" customHeight="1" s="20">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ht="15.75" customHeight="1" s="20">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ht="15.75" customHeight="1" s="2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ht="15.75" customHeight="1" s="20">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ht="15.75" customHeight="1" s="20">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ht="15.75" customHeight="1" s="20">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ht="15.75" customHeight="1" s="20">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ht="15.75" customHeight="1" s="20">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ht="15.75" customHeight="1" s="20">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ht="15.75" customHeight="1" s="20">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ht="15.75" customHeight="1" s="20">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ht="15.75" customHeight="1" s="20">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ht="15.75" customHeight="1" s="20">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ht="15.75" customHeight="1" s="20">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ht="15.75" customHeight="1" s="20">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ht="15.75" customHeight="1" s="20">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ht="15.75" customHeight="1" s="20">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ht="15.75" customHeight="1" s="20">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ht="15.75" customHeight="1" s="20">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ht="15.75" customHeight="1" s="20">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ht="15.75" customHeight="1" s="20">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ht="15.75" customHeight="1" s="20">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ht="15.75" customHeight="1" s="20">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ht="15.75" customHeight="1" s="20">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ht="15.75" customHeight="1" s="20">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ht="15.75" customHeight="1" s="20">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ht="15.75" customHeight="1" s="20">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ht="15.75" customHeight="1" s="20">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ht="15.75" customHeight="1" s="20">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ht="15.75" customHeight="1" s="20">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ht="15.75" customHeight="1" s="20">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ht="15.75" customHeight="1" s="20">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ht="15.75" customHeight="1" s="2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sheetData>
  <autoFilter ref="A1:K51">
    <filterColumn colId="6" hiddenButton="0" showButton="1">
      <filters>
        <filter val="Sprint 1"/>
      </filters>
    </filterColumn>
  </autoFilter>
  <dataValidations count="3">
    <dataValidation sqref="H5:H60" showDropDown="0" showInputMessage="0" showErrorMessage="0" allowBlank="1" type="list" errorStyle="stop" operator="between">
      <formula1>"Alta,Media,Baja"</formula1>
      <formula2>0</formula2>
    </dataValidation>
    <dataValidation sqref="E5:E60" showDropDown="0" showInputMessage="0" showErrorMessage="0" allowBlank="1" type="list" errorStyle="stop" operator="between">
      <formula1>"Vacío,Planificada,En Proceso,Hecho,Descartada"</formula1>
      <formula2>0</formula2>
    </dataValidation>
    <dataValidation sqref="G5:G60" showDropDown="0" showInputMessage="0" showErrorMessage="0" allowBlank="1" type="list" errorStyle="stop" operator="between">
      <formula1>"Sprint 0,Sprint 1,Sprint 2,Sprint 3,Sprint 4,Sprint 5"</formula1>
      <formula2>0</formula2>
    </dataValidation>
  </dataValidations>
  <printOptions horizontalCentered="0" verticalCentered="0" headings="0" gridLines="0" gridLinesSet="1"/>
  <pageMargins left="0.236111111111111" right="0.236111111111111" top="0.747916666666667" bottom="0.747916666666667"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B1:G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57" customWidth="1" style="19" min="1" max="1"/>
    <col width="11" customWidth="1" style="19" min="2" max="2"/>
    <col width="34" customWidth="1" style="19" min="3" max="3"/>
    <col width="70" customWidth="1" style="19" min="4" max="4"/>
    <col width="22" customWidth="1" style="19" min="5" max="5"/>
    <col width="13" customWidth="1" style="19" min="6" max="7"/>
    <col width="8.710000000000001" customWidth="1" style="19" min="8" max="26"/>
  </cols>
  <sheetData>
    <row r="1" ht="28.5" customHeight="1" s="20">
      <c r="B1" s="28" t="inlineStr">
        <is>
          <t>Épicas, resumen por sprint y supuestos</t>
        </is>
      </c>
    </row>
    <row r="2" ht="17.25" customHeight="1" s="20">
      <c r="B2" s="29" t="inlineStr">
        <is>
          <t>Complemento del Product Backlog · Plataforma Cosmopolitan</t>
        </is>
      </c>
    </row>
    <row r="4" ht="15.75" customHeight="1" s="20">
      <c r="B4" s="30" t="inlineStr">
        <is>
          <t>1. Épicas</t>
        </is>
      </c>
    </row>
    <row r="5" ht="31.5" customHeight="1" s="20">
      <c r="B5" s="31" t="inlineStr">
        <is>
          <t>Código</t>
        </is>
      </c>
      <c r="C5" s="31" t="inlineStr">
        <is>
          <t>Épica (rol)</t>
        </is>
      </c>
      <c r="D5" s="31" t="inlineStr">
        <is>
          <t>Necesidad de fondo</t>
        </is>
      </c>
      <c r="E5" s="31" t="inlineStr">
        <is>
          <t>Objetivos específicos</t>
        </is>
      </c>
      <c r="F5" s="31" t="inlineStr">
        <is>
          <t>N.º de historias</t>
        </is>
      </c>
      <c r="G5" s="31" t="inlineStr">
        <is>
          <t>Puntos</t>
        </is>
      </c>
    </row>
    <row r="6" ht="33" customHeight="1" s="20">
      <c r="B6" s="32" t="inlineStr">
        <is>
          <t>E1</t>
        </is>
      </c>
      <c r="C6" s="33" t="inlineStr">
        <is>
          <t>Administradora — gestionar la agencia</t>
        </is>
      </c>
      <c r="D6" s="33" t="inlineStr">
        <is>
          <t>Necesito centralizar la gestión comercial y operativa de la agencia, para dejar de depender de Notion y de canales informales.</t>
        </is>
      </c>
      <c r="E6" s="32" t="inlineStr">
        <is>
          <t>2, 3, 4, 6, 7, 8</t>
        </is>
      </c>
      <c r="F6" s="32">
        <f>COUNTIF('Historias de Usuario'!$I$5:$I$60,"E1*")</f>
        <v/>
      </c>
      <c r="G6" s="32">
        <f>SUMIF('Historias de Usuario'!$I$5:$I$60,"E1*",'Historias de Usuario'!$F$5:$F$60)</f>
        <v/>
      </c>
    </row>
    <row r="7" ht="33" customHeight="1" s="20">
      <c r="B7" s="32" t="inlineStr">
        <is>
          <t>E2</t>
        </is>
      </c>
      <c r="C7" s="33" t="inlineStr">
        <is>
          <t>Colaboradora — producir contenido</t>
        </is>
      </c>
      <c r="D7" s="33" t="inlineStr">
        <is>
          <t>Necesito acceder solo a la información de mis clientes asignados, para trabajar sin exponer datos de otros clientes.</t>
        </is>
      </c>
      <c r="E7" s="32" t="inlineStr">
        <is>
          <t>1, 5</t>
        </is>
      </c>
      <c r="F7" s="32">
        <f>COUNTIF('Historias de Usuario'!$I$5:$I$60,"E2*")</f>
        <v/>
      </c>
      <c r="G7" s="32">
        <f>SUMIF('Historias de Usuario'!$I$5:$I$60,"E2*",'Historias de Usuario'!$F$5:$F$60)</f>
        <v/>
      </c>
    </row>
    <row r="8" ht="33" customHeight="1" s="20">
      <c r="B8" s="32" t="inlineStr">
        <is>
          <t>E3</t>
        </is>
      </c>
      <c r="C8" s="33" t="inlineStr">
        <is>
          <t>Cliente aprobador — aprobar contenido</t>
        </is>
      </c>
      <c r="D8" s="33" t="inlineStr">
        <is>
          <t>Necesito revisar y aprobar el contenido de mi marca desde un solo lugar, para tener trazabilidad de lo que autoricé.</t>
        </is>
      </c>
      <c r="E8" s="32" t="inlineStr">
        <is>
          <t>1, 5, 9</t>
        </is>
      </c>
      <c r="F8" s="32">
        <f>COUNTIF('Historias de Usuario'!$I$5:$I$60,"E3*")</f>
        <v/>
      </c>
      <c r="G8" s="32">
        <f>SUMIF('Historias de Usuario'!$I$5:$I$60,"E3*",'Historias de Usuario'!$F$5:$F$60)</f>
        <v/>
      </c>
    </row>
    <row r="9" ht="33" customHeight="1" s="20">
      <c r="B9" s="32" t="inlineStr">
        <is>
          <t>E4</t>
        </is>
      </c>
      <c r="C9" s="33" t="inlineStr">
        <is>
          <t>Cliente lector — estar informada</t>
        </is>
      </c>
      <c r="D9" s="33" t="inlineStr">
        <is>
          <t>Necesito visualizar el estado de mi plan y mis métricas, para estar al tanto sin gestionar directamente el contenido.</t>
        </is>
      </c>
      <c r="E9" s="32" t="inlineStr">
        <is>
          <t>4, 6, 9</t>
        </is>
      </c>
      <c r="F9" s="32">
        <f>COUNTIF('Historias de Usuario'!$I$5:$I$60,"E4*")</f>
        <v/>
      </c>
      <c r="G9" s="32">
        <f>SUMIF('Historias de Usuario'!$I$5:$I$60,"E4*",'Historias de Usuario'!$F$5:$F$60)</f>
        <v/>
      </c>
    </row>
    <row r="10" ht="33" customHeight="1" s="20">
      <c r="B10" s="32" t="inlineStr">
        <is>
          <t>E5</t>
        </is>
      </c>
      <c r="C10" s="33" t="inlineStr">
        <is>
          <t>Prospecto / visitante — cotizar y contactar (épica agregada)</t>
        </is>
      </c>
      <c r="D10" s="33" t="inlineStr">
        <is>
          <t>Necesito conocer la agencia, cotizar en línea y dejar mis datos, para recibir un plan sugerido y ser contactada.</t>
        </is>
      </c>
      <c r="E10" s="32" t="inlineStr">
        <is>
          <t>2, 8</t>
        </is>
      </c>
      <c r="F10" s="32">
        <f>COUNTIF('Historias de Usuario'!$I$5:$I$60,"E5*")</f>
        <v/>
      </c>
      <c r="G10" s="32">
        <f>SUMIF('Historias de Usuario'!$I$5:$I$60,"E5*",'Historias de Usuario'!$F$5:$F$60)</f>
        <v/>
      </c>
    </row>
    <row r="11" ht="33" customHeight="1" s="20">
      <c r="B11" s="32" t="inlineStr">
        <is>
          <t>T</t>
        </is>
      </c>
      <c r="C11" s="33" t="inlineStr">
        <is>
          <t>Transversal — historias habilitadoras</t>
        </is>
      </c>
      <c r="D11" s="33" t="inlineStr">
        <is>
          <t>Autenticación, entorno, integración continua, pruebas, despliegue y documentación que sirven a todos los roles.</t>
        </is>
      </c>
      <c r="E11" s="32" t="inlineStr">
        <is>
          <t>1 (y calidad del producto)</t>
        </is>
      </c>
      <c r="F11" s="32">
        <f>COUNTIF('Historias de Usuario'!$I$5:$I$60,"T*")</f>
        <v/>
      </c>
      <c r="G11" s="32">
        <f>SUMIF('Historias de Usuario'!$I$5:$I$60,"T*",'Historias de Usuario'!$F$5:$F$60)</f>
        <v/>
      </c>
    </row>
    <row r="12" ht="15" customHeight="1" s="20">
      <c r="B12" s="34" t="inlineStr">
        <is>
          <t>Total</t>
        </is>
      </c>
      <c r="C12" s="35" t="n"/>
      <c r="D12" s="35" t="n"/>
      <c r="E12" s="35" t="n"/>
      <c r="F12" s="36">
        <f>SUM(F6:F11)</f>
        <v/>
      </c>
      <c r="G12" s="36">
        <f>SUM(G6:G11)</f>
        <v/>
      </c>
    </row>
    <row r="14" ht="15.75" customHeight="1" s="20">
      <c r="B14" s="30" t="inlineStr">
        <is>
          <t>2. Resumen por sprint</t>
        </is>
      </c>
    </row>
    <row r="15" ht="31.5" customHeight="1" s="20">
      <c r="B15" s="31" t="inlineStr">
        <is>
          <t>Sprint</t>
        </is>
      </c>
      <c r="C15" s="31" t="inlineStr">
        <is>
          <t>Nombre</t>
        </is>
      </c>
      <c r="D15" s="31" t="inlineStr">
        <is>
          <t>Hito / entregable (según Carta Gantt)</t>
        </is>
      </c>
      <c r="E15" s="31" t="inlineStr">
        <is>
          <t>Semanas</t>
        </is>
      </c>
      <c r="F15" s="31" t="inlineStr">
        <is>
          <t>N.º de historias</t>
        </is>
      </c>
      <c r="G15" s="31" t="inlineStr">
        <is>
          <t>Puntos</t>
        </is>
      </c>
    </row>
    <row r="16" ht="33" customHeight="1" s="20">
      <c r="B16" s="32" t="inlineStr">
        <is>
          <t>Sprint 0</t>
        </is>
      </c>
      <c r="C16" s="33" t="inlineStr">
        <is>
          <t>Levantamiento y diseño</t>
        </is>
      </c>
      <c r="D16" s="33" t="inlineStr">
        <is>
          <t>Hito 1 — Proyecto definido. Los documentos de diseño se gestionan como tareas del sprint.</t>
        </is>
      </c>
      <c r="E16" s="32" t="inlineStr">
        <is>
          <t>S1–S4</t>
        </is>
      </c>
      <c r="F16" s="32">
        <f>COUNTIF('Historias de Usuario'!$G$5:$G$60,B16)</f>
        <v/>
      </c>
      <c r="G16" s="32">
        <f>SUMIF('Historias de Usuario'!$G$5:$G$60,B16,'Historias de Usuario'!$F$5:$F$60)</f>
        <v/>
      </c>
    </row>
    <row r="17" ht="33" customHeight="1" s="20">
      <c r="B17" s="32" t="inlineStr">
        <is>
          <t>Sprint 1</t>
        </is>
      </c>
      <c r="C17" s="33" t="inlineStr">
        <is>
          <t>Base del sistema y sitio corporativo</t>
        </is>
      </c>
      <c r="D17" s="33" t="inlineStr">
        <is>
          <t>Autenticación, roles y aislamiento; catálogo; sitio corporativo y CMS; SEO, analítica y captación.</t>
        </is>
      </c>
      <c r="E17" s="32" t="inlineStr">
        <is>
          <t>S5–S8</t>
        </is>
      </c>
      <c r="F17" s="32">
        <f>COUNTIF('Historias de Usuario'!$G$5:$G$60,B17)</f>
        <v/>
      </c>
      <c r="G17" s="32">
        <f>SUMIF('Historias de Usuario'!$G$5:$G$60,B17,'Historias de Usuario'!$F$5:$F$60)</f>
        <v/>
      </c>
    </row>
    <row r="18" ht="18" customHeight="1" s="20">
      <c r="B18" s="32" t="inlineStr">
        <is>
          <t>Sprint 2</t>
        </is>
      </c>
      <c r="C18" s="33" t="inlineStr">
        <is>
          <t>Gestión comercial</t>
        </is>
      </c>
      <c r="D18" s="33" t="inlineStr">
        <is>
          <t>Prospectos, cotizador y conversión a cliente.</t>
        </is>
      </c>
      <c r="E18" s="32" t="inlineStr">
        <is>
          <t>S9–S11</t>
        </is>
      </c>
      <c r="F18" s="32">
        <f>COUNTIF('Historias de Usuario'!$G$5:$G$60,B18)</f>
        <v/>
      </c>
      <c r="G18" s="32">
        <f>SUMIF('Historias de Usuario'!$G$5:$G$60,B18,'Historias de Usuario'!$F$5:$F$60)</f>
        <v/>
      </c>
    </row>
    <row r="19" ht="18" customHeight="1" s="20">
      <c r="B19" s="32" t="inlineStr">
        <is>
          <t>Sprint 3</t>
        </is>
      </c>
      <c r="C19" s="33" t="inlineStr">
        <is>
          <t>Portal de clientes</t>
        </is>
      </c>
      <c r="D19" s="33" t="inlineStr">
        <is>
          <t>Hito 2 — Sitio corporativo en línea (según Carta Gantt).</t>
        </is>
      </c>
      <c r="E19" s="32" t="inlineStr">
        <is>
          <t>S12–S14</t>
        </is>
      </c>
      <c r="F19" s="32">
        <f>COUNTIF('Historias de Usuario'!$G$5:$G$60,B19)</f>
        <v/>
      </c>
      <c r="G19" s="32">
        <f>SUMIF('Historias de Usuario'!$G$5:$G$60,B19,'Historias de Usuario'!$F$5:$F$60)</f>
        <v/>
      </c>
    </row>
    <row r="20" ht="18" customHeight="1" s="20">
      <c r="B20" s="32" t="inlineStr">
        <is>
          <t>Sprint 4</t>
        </is>
      </c>
      <c r="C20" s="33" t="inlineStr">
        <is>
          <t>Métricas e IA</t>
        </is>
      </c>
      <c r="D20" s="33" t="inlineStr">
        <is>
          <t>Dashboards, KPIs y funcionalidades de IA.</t>
        </is>
      </c>
      <c r="E20" s="32" t="inlineStr">
        <is>
          <t>S15–S17</t>
        </is>
      </c>
      <c r="F20" s="32">
        <f>COUNTIF('Historias de Usuario'!$G$5:$G$60,B20)</f>
        <v/>
      </c>
      <c r="G20" s="32">
        <f>SUMIF('Historias de Usuario'!$G$5:$G$60,B20,'Historias de Usuario'!$F$5:$F$60)</f>
        <v/>
      </c>
    </row>
    <row r="21" ht="18" customHeight="1" s="20">
      <c r="B21" s="32" t="inlineStr">
        <is>
          <t>Sprint 5</t>
        </is>
      </c>
      <c r="C21" s="33" t="inlineStr">
        <is>
          <t>Pruebas, despliegue y cierre</t>
        </is>
      </c>
      <c r="D21" s="33" t="inlineStr">
        <is>
          <t>Hito 3 — Acta de aceptación e informe final.</t>
        </is>
      </c>
      <c r="E21" s="32" t="inlineStr">
        <is>
          <t>S17–S18</t>
        </is>
      </c>
      <c r="F21" s="32">
        <f>COUNTIF('Historias de Usuario'!$G$5:$G$60,B21)</f>
        <v/>
      </c>
      <c r="G21" s="32">
        <f>SUMIF('Historias de Usuario'!$G$5:$G$60,B21,'Historias de Usuario'!$F$5:$F$60)</f>
        <v/>
      </c>
    </row>
    <row r="22" ht="15.75" customHeight="1" s="20">
      <c r="B22" s="34" t="inlineStr">
        <is>
          <t>Total</t>
        </is>
      </c>
      <c r="C22" s="35" t="n"/>
      <c r="D22" s="35" t="n"/>
      <c r="E22" s="35" t="n"/>
      <c r="F22" s="36">
        <f>SUM(F16:F21)</f>
        <v/>
      </c>
      <c r="G22" s="36">
        <f>SUM(G16:G21)</f>
        <v/>
      </c>
    </row>
    <row r="23" ht="15.75" customHeight="1" s="20"/>
    <row r="24" ht="15.75" customHeight="1" s="20">
      <c r="B24" s="30" t="inlineStr">
        <is>
          <t>3. Supuestos y pendientes por validar</t>
        </is>
      </c>
    </row>
    <row r="25" ht="31.5" customHeight="1" s="20">
      <c r="B25" s="31" t="inlineStr">
        <is>
          <t>N.º</t>
        </is>
      </c>
      <c r="C25" s="31" t="inlineStr">
        <is>
          <t>Tema</t>
        </is>
      </c>
      <c r="D25" s="31" t="inlineStr">
        <is>
          <t>Detalle</t>
        </is>
      </c>
    </row>
    <row r="26" ht="78" customHeight="1" s="20">
      <c r="B26" s="32" t="n">
        <v>1</v>
      </c>
      <c r="C26" s="33" t="inlineStr">
        <is>
          <t>Prioridad y sprint</t>
        </is>
      </c>
      <c r="D26" s="33" t="inlineStr">
        <is>
          <t>La asignación de sprint sigue la Carta Gantt. La prioridad es una propuesta que debe confirmar el Product Owner.</t>
        </is>
      </c>
    </row>
    <row r="27" ht="33" customHeight="1" s="20">
      <c r="B27" s="32" t="n">
        <v>2</v>
      </c>
      <c r="C27" s="33" t="inlineStr">
        <is>
          <t>Épicas</t>
        </is>
      </c>
      <c r="D27" s="33" t="inlineStr">
        <is>
          <t xml:space="preserve">Se usaron las 4 épicas por rol de la presentación del proyecto (diap. 9) y se agregaron E5 (prospecto/visitante) y T (transversal). </t>
        </is>
      </c>
    </row>
    <row r="28" ht="48" customHeight="1" s="20">
      <c r="B28" s="32" t="n">
        <v>3</v>
      </c>
      <c r="C28" s="33" t="inlineStr">
        <is>
          <t>Objetivos específicos</t>
        </is>
      </c>
      <c r="D28" s="33" t="inlineStr">
        <is>
          <t>Numerados del 1 al 9 en el orden en que figuran los objetivos específicos del proyecto.</t>
        </is>
      </c>
    </row>
    <row r="29" ht="33" customHeight="1" s="20">
      <c r="B29" s="32" t="n">
        <v>4</v>
      </c>
      <c r="C29" s="33" t="inlineStr">
        <is>
          <t>Estado</t>
        </is>
      </c>
      <c r="D29" s="33" t="inlineStr">
        <is>
          <t>Estado según el avance real al 22 oct 2026 (Trello, cierre del Sprint 2): Planificada = por hacer; En Proceso = en desarrollo o en revisión; Hecho = validada contra sus criterios de aceptación. Actualizar al cierre de cada sprint.</t>
        </is>
      </c>
    </row>
    <row r="30" ht="33" customHeight="1" s="20">
      <c r="B30" s="32" t="n">
        <v>5</v>
      </c>
      <c r="C30" s="33" t="inlineStr">
        <is>
          <t>Integración con Meta</t>
        </is>
      </c>
      <c r="D30" s="33" t="inlineStr">
        <is>
          <t>PC-MET-02 depende de la aprobación de la app ante Meta (riesgo R-48 de la Planilla de riesgos). El camino garantizado es la carga por archivo (PC-MET-01).</t>
        </is>
      </c>
    </row>
    <row r="31" ht="48" customHeight="1" s="20">
      <c r="B31" s="32" t="n">
        <v>6</v>
      </c>
      <c r="C31" s="33" t="inlineStr">
        <is>
          <t>Sin objetivo directo</t>
        </is>
      </c>
      <c r="D31" s="33" t="inlineStr">
        <is>
          <t>PC-IA-03 (copy con voz de marca) no tiene un objetivo específico asociado. Decidir si se vincula al objetivo 5 o se agrega un objetivo.</t>
        </is>
      </c>
    </row>
    <row r="32" ht="48" customHeight="1" s="20">
      <c r="B32" s="32" t="n">
        <v>7</v>
      </c>
      <c r="C32" s="33" t="inlineStr">
        <is>
          <t>Roles</t>
        </is>
      </c>
      <c r="D32" s="33" t="inlineStr">
        <is>
          <t>Este backlog usa 4 roles (administradora, colaboradora, cliente aprobador y cliente lector). El Plan de Pruebas usa 3 (administrador, usuario de la agencia y usuario cliente). Unificar el criterio en ambos documentos.</t>
        </is>
      </c>
    </row>
    <row r="33" ht="63" customHeight="1" s="20">
      <c r="B33" s="32" t="n">
        <v>8</v>
      </c>
      <c r="C33" s="33" t="inlineStr">
        <is>
          <t>Sprint 0</t>
        </is>
      </c>
      <c r="D33" s="33" t="inlineStr">
        <is>
          <t>Solo PC-TEC-01 figura como historia. El resto del Sprint 0 son documentos y diseño (alcance, requerimientos, arquitectura, modelo de datos, prototipos), que se gestionan como tareas del Sprint Backlog.</t>
        </is>
      </c>
    </row>
    <row r="34" ht="63" customHeight="1" s="20">
      <c r="B34" s="32" t="n">
        <v>9</v>
      </c>
      <c r="C34" s="33" t="inlineStr">
        <is>
          <t>Proveedor de IA</t>
        </is>
      </c>
      <c r="D34" s="33" t="inlineStr">
        <is>
          <t>PC-IA-01 se conectó a Gemini con Google AI Studio como solución de prueba. Más adelante se probará Vertex AI y se decidirá con cuál quedarse. Además, la revisión de la administradora de los diagnósticos con IA es opcional.</t>
        </is>
      </c>
    </row>
    <row r="35" ht="63"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B1:D7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57" customWidth="1" style="19" min="1" max="1"/>
    <col width="14" customWidth="1" style="19" min="2" max="2"/>
    <col width="44" customWidth="1" style="19" min="3" max="3"/>
    <col width="80" customWidth="1" style="19" min="4" max="4"/>
    <col width="8.710000000000001" customWidth="1" style="19" min="5" max="26"/>
  </cols>
  <sheetData>
    <row r="1" ht="28.5" customHeight="1" s="20">
      <c r="B1" s="28" t="inlineStr">
        <is>
          <t>Leyenda del Product Backlog</t>
        </is>
      </c>
    </row>
    <row r="2" ht="17.25" customHeight="1" s="20">
      <c r="B2" s="29" t="inlineStr">
        <is>
          <t>Cómo leer identificadores, objetivos, esfuerzo, estado y prioridad</t>
        </is>
      </c>
    </row>
    <row r="4" ht="15.75" customHeight="1" s="20">
      <c r="B4" s="30" t="inlineStr">
        <is>
          <t>1. Identificadores (ejemplo: PC-AUT-01)</t>
        </is>
      </c>
    </row>
    <row r="5" ht="24" customHeight="1" s="20">
      <c r="B5" s="31" t="inlineStr">
        <is>
          <t>Parte</t>
        </is>
      </c>
      <c r="C5" s="31" t="inlineStr">
        <is>
          <t>Significado</t>
        </is>
      </c>
      <c r="D5" s="31" t="inlineStr">
        <is>
          <t>Detalle</t>
        </is>
      </c>
    </row>
    <row r="6" ht="18" customHeight="1" s="20">
      <c r="B6" s="32" t="inlineStr">
        <is>
          <t>PC</t>
        </is>
      </c>
      <c r="C6" s="33" t="inlineStr">
        <is>
          <t>Plataforma Cosmopolitan</t>
        </is>
      </c>
      <c r="D6" s="33" t="inlineStr">
        <is>
          <t>Prefijo fijo de todas las historias del proyecto.</t>
        </is>
      </c>
    </row>
    <row r="7" ht="18" customHeight="1" s="20">
      <c r="B7" s="32" t="inlineStr">
        <is>
          <t>AUT</t>
        </is>
      </c>
      <c r="C7" s="33" t="inlineStr">
        <is>
          <t>Módulo o tema de la historia</t>
        </is>
      </c>
      <c r="D7" s="33" t="inlineStr">
        <is>
          <t>Código de tres letras (o dos, en IA). Ver la tabla de módulos más abajo.</t>
        </is>
      </c>
    </row>
    <row r="8" ht="33" customHeight="1" s="20">
      <c r="B8" s="32" t="inlineStr">
        <is>
          <t>01</t>
        </is>
      </c>
      <c r="C8" s="33" t="inlineStr">
        <is>
          <t>Número correlativo dentro del módulo</t>
        </is>
      </c>
      <c r="D8" s="33" t="inlineStr">
        <is>
          <t>No indica prioridad ni orden de construcción. La prioridad y el sprint están en sus propias columnas.</t>
        </is>
      </c>
    </row>
    <row r="10" ht="15.75" customHeight="1" s="20">
      <c r="B10" s="30" t="inlineStr">
        <is>
          <t>2. Módulos</t>
        </is>
      </c>
    </row>
    <row r="11" ht="24" customHeight="1" s="20">
      <c r="B11" s="31" t="inlineStr">
        <is>
          <t>Código</t>
        </is>
      </c>
      <c r="C11" s="31" t="inlineStr">
        <is>
          <t>Módulo</t>
        </is>
      </c>
      <c r="D11" s="31" t="inlineStr">
        <is>
          <t>Ejemplo de historia</t>
        </is>
      </c>
    </row>
    <row r="12" ht="18" customHeight="1" s="20">
      <c r="B12" s="32" t="inlineStr">
        <is>
          <t>AUT</t>
        </is>
      </c>
      <c r="C12" s="33" t="inlineStr">
        <is>
          <t>Autenticación, roles y aislamiento</t>
        </is>
      </c>
      <c r="D12" s="33" t="inlineStr">
        <is>
          <t>PC-AUT-05 · Cliente solo ve su empresa</t>
        </is>
      </c>
    </row>
    <row r="13" ht="18" customHeight="1" s="20">
      <c r="B13" s="32" t="inlineStr">
        <is>
          <t>CAT</t>
        </is>
      </c>
      <c r="C13" s="33" t="inlineStr">
        <is>
          <t>Catálogo de planes y servicios</t>
        </is>
      </c>
      <c r="D13" s="33" t="inlineStr">
        <is>
          <t>PC-CAT-01 · Catálogo de planes</t>
        </is>
      </c>
    </row>
    <row r="14" ht="18" customHeight="1" s="20">
      <c r="B14" s="32" t="inlineStr">
        <is>
          <t>WEB</t>
        </is>
      </c>
      <c r="C14" s="33" t="inlineStr">
        <is>
          <t>Sitio corporativo y CMS</t>
        </is>
      </c>
      <c r="D14" s="33" t="inlineStr">
        <is>
          <t>PC-WEB-02 · CMS del sitio</t>
        </is>
      </c>
    </row>
    <row r="15" ht="18" customHeight="1" s="20">
      <c r="B15" s="32" t="inlineStr">
        <is>
          <t>SEO</t>
        </is>
      </c>
      <c r="C15" s="33" t="inlineStr">
        <is>
          <t>SEO y analítica</t>
        </is>
      </c>
      <c r="D15" s="33" t="inlineStr">
        <is>
          <t>PC-SEO-02 · Analítica con consentimiento</t>
        </is>
      </c>
    </row>
    <row r="16" ht="18" customHeight="1" s="20">
      <c r="B16" s="32" t="inlineStr">
        <is>
          <t>CAP</t>
        </is>
      </c>
      <c r="C16" s="33" t="inlineStr">
        <is>
          <t>Captación de prospectos desde el sitio</t>
        </is>
      </c>
      <c r="D16" s="33" t="inlineStr">
        <is>
          <t>PC-CAP-01 · Formulario de captación</t>
        </is>
      </c>
    </row>
    <row r="17" ht="18" customHeight="1" s="20">
      <c r="B17" s="32" t="inlineStr">
        <is>
          <t>PRO</t>
        </is>
      </c>
      <c r="C17" s="33" t="inlineStr">
        <is>
          <t>Gestión de prospectos</t>
        </is>
      </c>
      <c r="D17" s="33" t="inlineStr">
        <is>
          <t>PC-PRO-01 · Prospectos en lista y kanban</t>
        </is>
      </c>
    </row>
    <row r="18" ht="18" customHeight="1" s="20">
      <c r="B18" s="32" t="inlineStr">
        <is>
          <t>COT</t>
        </is>
      </c>
      <c r="C18" s="33" t="inlineStr">
        <is>
          <t>Cotizador</t>
        </is>
      </c>
      <c r="D18" s="33" t="inlineStr">
        <is>
          <t>PC-COT-01 · Cotizador en línea</t>
        </is>
      </c>
    </row>
    <row r="19" ht="18" customHeight="1" s="20">
      <c r="B19" s="32" t="inlineStr">
        <is>
          <t>CLI</t>
        </is>
      </c>
      <c r="C19" s="33" t="inlineStr">
        <is>
          <t>Clientes</t>
        </is>
      </c>
      <c r="D19" s="33" t="inlineStr">
        <is>
          <t>PC-CLI-02 · Ficha del cliente</t>
        </is>
      </c>
    </row>
    <row r="20" ht="18" customHeight="1" s="20">
      <c r="B20" s="32" t="inlineStr">
        <is>
          <t>POR</t>
        </is>
      </c>
      <c r="C20" s="33" t="inlineStr">
        <is>
          <t>Portal del cliente</t>
        </is>
      </c>
      <c r="D20" s="33" t="inlineStr">
        <is>
          <t>PC-POR-01 · Portal del cliente</t>
        </is>
      </c>
    </row>
    <row r="21" ht="18" customHeight="1" s="20">
      <c r="B21" s="32" t="inlineStr">
        <is>
          <t>CAL</t>
        </is>
      </c>
      <c r="C21" s="33" t="inlineStr">
        <is>
          <t>Calendario editorial</t>
        </is>
      </c>
      <c r="D21" s="33" t="inlineStr">
        <is>
          <t>PC-CAL-01 · Cargar contenido y enviar a revisión</t>
        </is>
      </c>
    </row>
    <row r="22" ht="18" customHeight="1" s="20">
      <c r="B22" s="32" t="inlineStr">
        <is>
          <t>APR</t>
        </is>
      </c>
      <c r="C22" s="33" t="inlineStr">
        <is>
          <t>Aprobación de contenido</t>
        </is>
      </c>
      <c r="D22" s="33" t="inlineStr">
        <is>
          <t>PC-APR-01 · Aprobar o pedir cambios</t>
        </is>
      </c>
    </row>
    <row r="23" ht="18" customHeight="1" s="20">
      <c r="B23" s="32" t="inlineStr">
        <is>
          <t>SOL</t>
        </is>
      </c>
      <c r="C23" s="33" t="inlineStr">
        <is>
          <t>Solicitudes y notificaciones</t>
        </is>
      </c>
      <c r="D23" s="33" t="inlineStr">
        <is>
          <t>PC-SOL-01 · Solicitudes y archivos</t>
        </is>
      </c>
    </row>
    <row r="24" ht="18" customHeight="1" s="20">
      <c r="B24" s="32" t="inlineStr">
        <is>
          <t>CUM</t>
        </is>
      </c>
      <c r="C24" s="33" t="inlineStr">
        <is>
          <t>Cumplimiento del plan contratado</t>
        </is>
      </c>
      <c r="D24" s="33" t="inlineStr">
        <is>
          <t>PC-CUM-01 · Cumplimiento del plan (agencia)</t>
        </is>
      </c>
    </row>
    <row r="25" ht="18" customHeight="1" s="20">
      <c r="B25" s="32" t="inlineStr">
        <is>
          <t>MET</t>
        </is>
      </c>
      <c r="C25" s="33" t="inlineStr">
        <is>
          <t>Métricas de campañas e Instagram</t>
        </is>
      </c>
      <c r="D25" s="33" t="inlineStr">
        <is>
          <t>PC-MET-01 · Ingesta de métricas por archivo</t>
        </is>
      </c>
    </row>
    <row r="26" ht="18" customHeight="1" s="20">
      <c r="B26" s="32" t="inlineStr">
        <is>
          <t>DSH</t>
        </is>
      </c>
      <c r="C26" s="33" t="inlineStr">
        <is>
          <t>Dashboards y KPIs</t>
        </is>
      </c>
      <c r="D26" s="33" t="inlineStr">
        <is>
          <t>PC-DSH-01 · Dashboards y KPIs por cliente</t>
        </is>
      </c>
    </row>
    <row r="27" ht="18" customHeight="1" s="20">
      <c r="B27" s="32" t="inlineStr">
        <is>
          <t>IA</t>
        </is>
      </c>
      <c r="C27" s="33" t="inlineStr">
        <is>
          <t>Funcionalidades de IA</t>
        </is>
      </c>
      <c r="D27" s="33" t="inlineStr">
        <is>
          <t>PC-IA-02 · Reporte mensual con IA</t>
        </is>
      </c>
    </row>
    <row r="28" ht="18" customHeight="1" s="20">
      <c r="B28" s="32" t="inlineStr">
        <is>
          <t>REP</t>
        </is>
      </c>
      <c r="C28" s="33" t="inlineStr">
        <is>
          <t>Reportes</t>
        </is>
      </c>
      <c r="D28" s="33" t="inlineStr">
        <is>
          <t>PC-REP-01 · Descarga del reporte mensual</t>
        </is>
      </c>
    </row>
    <row r="29" ht="18" customHeight="1" s="20">
      <c r="B29" s="32" t="inlineStr">
        <is>
          <t>TEC</t>
        </is>
      </c>
      <c r="C29" s="33" t="inlineStr">
        <is>
          <t>Historias técnicas (habilitadoras)</t>
        </is>
      </c>
      <c r="D29" s="33" t="inlineStr">
        <is>
          <t>PC-TEC-04 · Suite de pruebas de aislamiento</t>
        </is>
      </c>
    </row>
    <row r="30" ht="18" customHeight="1" s="20">
      <c r="B30" s="32" t="inlineStr">
        <is>
          <t>QA</t>
        </is>
      </c>
      <c r="C30" s="33" t="inlineStr">
        <is>
          <t>Pruebas de calidad finales</t>
        </is>
      </c>
      <c r="D30" s="33" t="inlineStr">
        <is>
          <t>PC-QA-01 · Pruebas de seguridad y rendimiento</t>
        </is>
      </c>
    </row>
    <row r="31" ht="18" customHeight="1" s="20">
      <c r="B31" s="32" t="inlineStr">
        <is>
          <t>DEP</t>
        </is>
      </c>
      <c r="C31" s="33" t="inlineStr">
        <is>
          <t>Despliegue</t>
        </is>
      </c>
      <c r="D31" s="33" t="inlineStr">
        <is>
          <t>PC-DEP-01 · Despliegue con cliente piloto</t>
        </is>
      </c>
    </row>
    <row r="32" ht="18" customHeight="1" s="20">
      <c r="B32" s="32" t="inlineStr">
        <is>
          <t>DOC</t>
        </is>
      </c>
      <c r="C32" s="33" t="inlineStr">
        <is>
          <t>Documentación</t>
        </is>
      </c>
      <c r="D32" s="33" t="inlineStr">
        <is>
          <t>PC-DOC-01 · Documentación técnica y manual</t>
        </is>
      </c>
    </row>
    <row r="33" ht="18" customHeight="1" s="20">
      <c r="B33" s="32" t="inlineStr">
        <is>
          <t>ACE</t>
        </is>
      </c>
      <c r="C33" s="33" t="inlineStr">
        <is>
          <t>Aceptación</t>
        </is>
      </c>
      <c r="D33" s="33" t="inlineStr">
        <is>
          <t>PC-ACE-01 · Validación y acta de aceptación</t>
        </is>
      </c>
    </row>
    <row r="34" ht="15.75" customHeight="1" s="20"/>
    <row r="35" ht="15.75" customHeight="1" s="20">
      <c r="B35" s="30" t="inlineStr">
        <is>
          <t>3. Objetivos específicos (las referencias "Obj." de la columna Comentarios)</t>
        </is>
      </c>
    </row>
    <row r="36" ht="24" customHeight="1" s="20">
      <c r="B36" s="31" t="inlineStr">
        <is>
          <t>Obj.</t>
        </is>
      </c>
      <c r="C36" s="31" t="inlineStr">
        <is>
          <t>Objetivo específico</t>
        </is>
      </c>
      <c r="D36" s="31" t="inlineStr">
        <is>
          <t>Nota</t>
        </is>
      </c>
    </row>
    <row r="37" ht="33" customHeight="1" s="20">
      <c r="B37" s="32" t="n">
        <v>1</v>
      </c>
      <c r="C37" s="33" t="inlineStr">
        <is>
          <t>Autenticación con roles y aislamiento estricto de información entre clientes.</t>
        </is>
      </c>
      <c r="D37" s="33" t="n"/>
    </row>
    <row r="38" ht="48" customHeight="1" s="20">
      <c r="B38" s="32" t="n">
        <v>2</v>
      </c>
      <c r="C38" s="33" t="inlineStr">
        <is>
          <t>Registrar prospectos desde el sitio público y gestionar su avance hasta la conversión en cliente.</t>
        </is>
      </c>
      <c r="D38" s="33" t="n"/>
    </row>
    <row r="39" ht="48" customHeight="1" s="20">
      <c r="B39" s="32" t="n">
        <v>3</v>
      </c>
      <c r="C39" s="33" t="inlineStr">
        <is>
          <t>Modelar los planes y servicios de la agencia de forma administrable, sin intervención en código.</t>
        </is>
      </c>
      <c r="D39" s="33" t="n"/>
    </row>
    <row r="40" ht="48" customHeight="1" s="20">
      <c r="B40" s="32" t="n">
        <v>4</v>
      </c>
      <c r="C40" s="33" t="inlineStr">
        <is>
          <t>Controlar el cumplimiento de la cuota mensual de entregables de cada plan contratado.</t>
        </is>
      </c>
      <c r="D40" s="33" t="n"/>
    </row>
    <row r="41" ht="48" customHeight="1" s="20">
      <c r="B41" s="32" t="n">
        <v>5</v>
      </c>
      <c r="C41" s="33" t="inlineStr">
        <is>
          <t>Formalizar el ciclo semanal de producción, envío, aprobación y versionado de contenido.</t>
        </is>
      </c>
      <c r="D41" s="33" t="n"/>
    </row>
    <row r="42" ht="33" customHeight="1" s="20">
      <c r="B42" s="32" t="n">
        <v>6</v>
      </c>
      <c r="C42" s="33" t="inlineStr">
        <is>
          <t>Consolidar métricas de redes y campañas en dashboards por cliente.</t>
        </is>
      </c>
      <c r="D42" s="33" t="n"/>
    </row>
    <row r="43" ht="48" customHeight="1" s="20">
      <c r="B43" s="32" t="n">
        <v>7</v>
      </c>
      <c r="C43" s="33" t="inlineStr">
        <is>
          <t>Reducir el tiempo de elaboración del reporte mensual mediante generación asistida por IA.</t>
        </is>
      </c>
      <c r="D43" s="33" t="n"/>
    </row>
    <row r="44" ht="48" customHeight="1" s="20">
      <c r="B44" s="32" t="n">
        <v>8</v>
      </c>
      <c r="C44" s="33" t="inlineStr">
        <is>
          <t>Reducir el tiempo de elaboración del diagnóstico de cotización mediante generación asistida por IA.</t>
        </is>
      </c>
      <c r="D44" s="33" t="n"/>
    </row>
    <row r="45" ht="33" customHeight="1" s="20">
      <c r="B45" s="32" t="n">
        <v>9</v>
      </c>
      <c r="C45" s="33" t="inlineStr">
        <is>
          <t>Habilitar un portal donde cada clienta acceda únicamente a su información.</t>
        </is>
      </c>
      <c r="D45" s="33" t="n"/>
    </row>
    <row r="46" ht="15.75" customHeight="1" s="20"/>
    <row r="47" ht="15.75" customHeight="1" s="20">
      <c r="B47" s="30" t="inlineStr">
        <is>
          <t>4. Cómo leer la columna Comentarios</t>
        </is>
      </c>
    </row>
    <row r="48" ht="24" customHeight="1" s="20">
      <c r="B48" s="31" t="inlineStr">
        <is>
          <t>Elemento</t>
        </is>
      </c>
      <c r="C48" s="31" t="inlineStr">
        <is>
          <t>Significado</t>
        </is>
      </c>
      <c r="D48" s="31" t="inlineStr">
        <is>
          <t>Ejemplo</t>
        </is>
      </c>
    </row>
    <row r="49" ht="48" customHeight="1" s="20">
      <c r="B49" s="32" t="inlineStr">
        <is>
          <t>E1 a E5, T</t>
        </is>
      </c>
      <c r="C49" s="33" t="inlineStr">
        <is>
          <t>Épica a la que pertenece la historia (T = transversal). Ver la hoja "Épicas y resumen".</t>
        </is>
      </c>
      <c r="D49" s="33" t="inlineStr">
        <is>
          <t>E1 = Administradora · E2 = Colaboradora · E3 = Cliente aprobador · E4 = Cliente lector · E5 = Prospecto / visitante</t>
        </is>
      </c>
    </row>
    <row r="50" ht="33" customHeight="1" s="20">
      <c r="B50" s="32" t="inlineStr">
        <is>
          <t>Obj. n</t>
        </is>
      </c>
      <c r="C50" s="33" t="inlineStr">
        <is>
          <t>Objetivo(s) específico(s) que la historia ayuda a cumplir (sección 3).</t>
        </is>
      </c>
      <c r="D50" s="33" t="inlineStr">
        <is>
          <t>Obj. 1 y 9 = autenticación y aislamiento, y portal del cliente</t>
        </is>
      </c>
    </row>
    <row r="51" ht="78" customHeight="1" s="20">
      <c r="B51" s="32" t="inlineStr">
        <is>
          <t>CP-xxx, R-xx, RNF-xx</t>
        </is>
      </c>
      <c r="C51" s="33" t="inlineStr">
        <is>
          <t>Referencias a otros documentos del proyecto: CP = caso de prueba del Plan de Pruebas; R = riesgo de la Planilla de riesgos; RNF = requerimiento no funcional de la Especificación de requerimientos.</t>
        </is>
      </c>
      <c r="D51" s="33" t="inlineStr">
        <is>
          <t>Se verifica con CP-020 · Riesgo R-32</t>
        </is>
      </c>
    </row>
    <row r="52" ht="63" customHeight="1" s="20">
      <c r="B52" s="32" t="inlineStr">
        <is>
          <t>Texto restante</t>
        </is>
      </c>
      <c r="C52" s="33" t="inlineStr">
        <is>
          <t>Explicación breve de la historia y de para qué sirve, con sus dependencias, riesgos (R-xx) y casos de prueba (CP-xxx) relacionados.</t>
        </is>
      </c>
      <c r="D52" s="33" t="inlineStr">
        <is>
          <t>Ningún cliente puede ver datos de otro. Se prueba con CP-020 y CP-021.</t>
        </is>
      </c>
    </row>
    <row r="53" ht="15.75" customHeight="1" s="20"/>
    <row r="54" ht="15.75" customHeight="1" s="20">
      <c r="B54" s="30" t="inlineStr">
        <is>
          <t>5. Dimensión / esfuerzo (puntos de historia)</t>
        </is>
      </c>
    </row>
    <row r="55" ht="24" customHeight="1" s="20">
      <c r="B55" s="31" t="inlineStr">
        <is>
          <t>Puntos</t>
        </is>
      </c>
      <c r="C55" s="31" t="inlineStr">
        <is>
          <t>Significado</t>
        </is>
      </c>
      <c r="D55" s="31" t="inlineStr">
        <is>
          <t>Cómo usarlo</t>
        </is>
      </c>
    </row>
    <row r="56" ht="33" customHeight="1" s="20">
      <c r="B56" s="32" t="n">
        <v>2</v>
      </c>
      <c r="C56" s="33" t="inlineStr">
        <is>
          <t>Pequeña y simple</t>
        </is>
      </c>
      <c r="D56" s="33" t="inlineStr">
        <is>
          <t>Mide la complejidad relativa entre historias, no horas. Se compara cada historia con las demás.</t>
        </is>
      </c>
    </row>
    <row r="57" ht="33" customHeight="1" s="20">
      <c r="B57" s="32" t="n">
        <v>3</v>
      </c>
      <c r="C57" s="33" t="inlineStr">
        <is>
          <t>Baja complejidad</t>
        </is>
      </c>
      <c r="D57" s="33" t="inlineStr">
        <is>
          <t>Escala tipo Fibonacci: 1, 2, 3, 5, 8, 13. En este backlog se usan 2, 3, 5 y 8.</t>
        </is>
      </c>
    </row>
    <row r="58" ht="18" customHeight="1" s="20">
      <c r="B58" s="32" t="n">
        <v>5</v>
      </c>
      <c r="C58" s="33" t="inlineStr">
        <is>
          <t>Complejidad media</t>
        </is>
      </c>
      <c r="D58" s="33" t="inlineStr">
        <is>
          <t>Una historia de 13 o más debería dividirse en historias más pequeñas.</t>
        </is>
      </c>
    </row>
    <row r="59" ht="48" customHeight="1" s="20">
      <c r="B59" s="32" t="n">
        <v>8</v>
      </c>
      <c r="C59" s="33" t="inlineStr">
        <is>
          <t>Grande o compleja</t>
        </is>
      </c>
      <c r="D59" s="33" t="inlineStr">
        <is>
          <t>Valores preliminares: el equipo debe re-estimarlos al comenzar cada sprint. Las horas se usan en el Sprint Backlog, al dividir cada historia en tareas.</t>
        </is>
      </c>
    </row>
    <row r="60" ht="15.75" customHeight="1" s="20"/>
    <row r="61" ht="15.75" customHeight="1" s="20">
      <c r="B61" s="30" t="inlineStr">
        <is>
          <t>6. Estado y prioridad</t>
        </is>
      </c>
    </row>
    <row r="62" ht="24" customHeight="1" s="20">
      <c r="B62" s="31" t="inlineStr">
        <is>
          <t>Valor</t>
        </is>
      </c>
      <c r="C62" s="31" t="inlineStr">
        <is>
          <t>Campo</t>
        </is>
      </c>
      <c r="D62" s="31" t="inlineStr">
        <is>
          <t>Significado</t>
        </is>
      </c>
    </row>
    <row r="63" ht="18" customHeight="1" s="20">
      <c r="B63" s="32" t="inlineStr">
        <is>
          <t>Vacío</t>
        </is>
      </c>
      <c r="C63" s="33" t="inlineStr">
        <is>
          <t>Estado</t>
        </is>
      </c>
      <c r="D63" s="33" t="inlineStr">
        <is>
          <t>Historia identificada, todavía sin sprint asignado.</t>
        </is>
      </c>
    </row>
    <row r="64" ht="18" customHeight="1" s="20">
      <c r="B64" s="32" t="inlineStr">
        <is>
          <t>Planificada</t>
        </is>
      </c>
      <c r="C64" s="33" t="inlineStr">
        <is>
          <t>Estado</t>
        </is>
      </c>
      <c r="D64" s="33" t="inlineStr">
        <is>
          <t>Asignada a un sprint y aún no comenzada.</t>
        </is>
      </c>
    </row>
    <row r="65" ht="18" customHeight="1" s="20">
      <c r="B65" s="32" t="inlineStr">
        <is>
          <t>En Proceso</t>
        </is>
      </c>
      <c r="C65" s="33" t="inlineStr">
        <is>
          <t>Estado</t>
        </is>
      </c>
      <c r="D65" s="33" t="inlineStr">
        <is>
          <t>En desarrollo durante el sprint.</t>
        </is>
      </c>
    </row>
    <row r="66" ht="33" customHeight="1" s="20">
      <c r="B66" s="32" t="inlineStr">
        <is>
          <t>Hecho</t>
        </is>
      </c>
      <c r="C66" s="33" t="inlineStr">
        <is>
          <t>Estado</t>
        </is>
      </c>
      <c r="D66" s="33" t="inlineStr">
        <is>
          <t>Terminada según los criterios de "terminado" del equipo (Definition of Done) y validada por el Product Owner.</t>
        </is>
      </c>
    </row>
    <row r="67" ht="18" customHeight="1" s="20">
      <c r="B67" s="32" t="inlineStr">
        <is>
          <t>Descartada</t>
        </is>
      </c>
      <c r="C67" s="33" t="inlineStr">
        <is>
          <t>Estado</t>
        </is>
      </c>
      <c r="D67" s="33" t="inlineStr">
        <is>
          <t>Se decidió no realizarla.</t>
        </is>
      </c>
    </row>
    <row r="68" ht="33" customHeight="1" s="20">
      <c r="B68" s="32" t="inlineStr">
        <is>
          <t>Alta</t>
        </is>
      </c>
      <c r="C68" s="33" t="inlineStr">
        <is>
          <t>Prioridad</t>
        </is>
      </c>
      <c r="D68" s="33" t="inlineStr">
        <is>
          <t>Necesaria para cumplir el hito del sprint o para que otras historias funcionen.</t>
        </is>
      </c>
    </row>
    <row r="69" ht="18" customHeight="1" s="20">
      <c r="B69" s="32" t="inlineStr">
        <is>
          <t>Media</t>
        </is>
      </c>
      <c r="C69" s="33" t="inlineStr">
        <is>
          <t>Prioridad</t>
        </is>
      </c>
      <c r="D69" s="33" t="inlineStr">
        <is>
          <t>Importante, pero podría moverse de sprint si hay poca capacidad.</t>
        </is>
      </c>
    </row>
    <row r="70" ht="18" customHeight="1" s="20">
      <c r="B70" s="32" t="inlineStr">
        <is>
          <t>Baja</t>
        </is>
      </c>
      <c r="C70" s="33" t="inlineStr">
        <is>
          <t>Prioridad</t>
        </is>
      </c>
      <c r="D70" s="33" t="inlineStr">
        <is>
          <t>Deseable; se hace si hay capacidad.</t>
        </is>
      </c>
    </row>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57" customWidth="1" style="19" min="1" max="1"/>
    <col width="27.71" customWidth="1" style="19" min="2" max="2"/>
    <col width="86" customWidth="1" style="19" min="3" max="3"/>
    <col width="2.86" customWidth="1" style="19" min="4" max="4"/>
    <col width="11.43" customWidth="1" style="19" min="5" max="26"/>
  </cols>
  <sheetData>
    <row r="1" ht="36" customHeight="1" s="20">
      <c r="A1" s="21" t="n"/>
      <c r="B1" s="22" t="inlineStr">
        <is>
          <t>Pila de Producto (Product Backlog): Instructivo</t>
        </is>
      </c>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21" customHeight="1" s="20">
      <c r="A2" s="21" t="n"/>
      <c r="B2" s="23" t="inlineStr">
        <is>
          <t>Elaborado por: pmoinformatica.com</t>
        </is>
      </c>
      <c r="C2" s="21" t="n"/>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t="15" customHeight="1" s="20">
      <c r="A3" s="21" t="n"/>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t="15" customHeight="1" s="20">
      <c r="A4" s="21" t="n"/>
      <c r="B4" s="37" t="inlineStr">
        <is>
          <t>Columna</t>
        </is>
      </c>
      <c r="C4" s="37" t="inlineStr">
        <is>
          <t>Instrucciones</t>
        </is>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ht="45" customHeight="1" s="20">
      <c r="A5" s="21" t="n"/>
      <c r="B5" s="26" t="inlineStr">
        <is>
          <t>Identificador (ID) de la Historia</t>
        </is>
      </c>
      <c r="C5" s="26"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ht="90" customHeight="1" s="20">
      <c r="A6" s="21" t="n"/>
      <c r="B6" s="26" t="inlineStr">
        <is>
          <t>Enunciado de la Historia</t>
        </is>
      </c>
      <c r="C6" s="26" t="inlineStr">
        <is>
          <t xml:space="preserve">Nombre de la historia, el cual debe ser el mismo que se utiliza en otros documentos. Se puede utilizar el formato siguiente:
Como un [Rol], Necesito [Descripción de la Funcionalidad], con la finalidad de [Razón o Resultado]
</t>
        </is>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ht="45" customHeight="1" s="20">
      <c r="A7" s="21" t="n"/>
      <c r="B7" s="26" t="inlineStr">
        <is>
          <t>Alias</t>
        </is>
      </c>
      <c r="C7" s="26" t="inlineStr">
        <is>
          <t>Título de la historia alternativo a la descripción, que servirá para identificar más fácilmente la historia sin tener que repetir todo su enunciado. Se puede utilizar por ejemplo el nombre de la funcionalidad o requerimiento que se pretende desarrollar.</t>
        </is>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ht="225" customHeight="1" s="20">
      <c r="A8" s="21" t="n"/>
      <c r="B8" s="26" t="inlineStr">
        <is>
          <t>Estado</t>
        </is>
      </c>
      <c r="C8" s="26"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ht="50.25" customHeight="1" s="20">
      <c r="A9" s="21" t="n"/>
      <c r="B9" s="26" t="inlineStr">
        <is>
          <t>Dimensión / Esfuerzo</t>
        </is>
      </c>
      <c r="C9" s="26"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ht="60" customHeight="1" s="20">
      <c r="A10" s="21" t="n"/>
      <c r="B10" s="26" t="inlineStr">
        <is>
          <t>Iteración (Sprint)</t>
        </is>
      </c>
      <c r="C10" s="26"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60" customHeight="1" s="20">
      <c r="A11" s="21" t="n"/>
      <c r="B11" s="26" t="inlineStr">
        <is>
          <t>Prioridad</t>
        </is>
      </c>
      <c r="C11" s="26"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30" customHeight="1" s="20">
      <c r="A12" s="21" t="n"/>
      <c r="B12" s="26" t="inlineStr">
        <is>
          <t>Comentarios</t>
        </is>
      </c>
      <c r="C12" s="26" t="inlineStr">
        <is>
          <t>Comentarios o detalles relacionadas que expliquen la historia. Para definiciones de mayor longitud deben usarse documentos externos, por ejemplo la plantilla de historias de usuario.</t>
        </is>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30" customHeight="1" s="20">
      <c r="A13" s="21" t="n"/>
      <c r="B13" s="26" t="inlineStr">
        <is>
          <t>Criterios de aceptación</t>
        </is>
      </c>
      <c r="C13" s="26" t="inlineStr">
        <is>
          <t>Condiciones verificables que deben cumplirse para dar la historia por terminada. La historia se acepta solo si se cumplen todos sus criterios y pasan sus casos de prueba asociados.</t>
        </is>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30" customHeight="1" s="20">
      <c r="A14" s="21" t="n"/>
      <c r="B14" s="26" t="inlineStr">
        <is>
          <t>Casos de prueba</t>
        </is>
      </c>
      <c r="C14" s="26" t="inlineStr">
        <is>
          <t>Casos del Plan de Pruebas que verifican la historia (trazabilidad). Un guion (—) indica que la historia se verifica directamente contra sus criterios de aceptación.</t>
        </is>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15" customHeight="1" s="20">
      <c r="A15" s="21" t="n"/>
      <c r="B15" s="21" t="n"/>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15" customHeight="1" s="20">
      <c r="A16" s="21" t="n"/>
      <c r="B16" s="21" t="n"/>
      <c r="C16" s="21"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15" customHeight="1" s="20">
      <c r="A17" s="21" t="n"/>
      <c r="B17" s="21" t="n"/>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15" customHeight="1" s="20">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15" customHeight="1" s="20">
      <c r="A19" s="21"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5" customHeight="1" s="20">
      <c r="A20" s="21" t="n"/>
      <c r="B20" s="21" t="n"/>
      <c r="C20" s="21"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15.75" customHeight="1" s="20">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5.75" customHeight="1" s="20">
      <c r="A22" s="21" t="n"/>
      <c r="B22" s="21" t="n"/>
      <c r="C22" s="21"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15.75" customHeight="1" s="20">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15.75" customHeight="1" s="20">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15.75" customHeight="1" s="20">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15.75" customHeight="1" s="20">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15.75" customHeight="1" s="20">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15.75" customHeight="1" s="20">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15.75" customHeight="1" s="20">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15.75" customHeight="1" s="2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15.75" customHeight="1" s="20">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15.75" customHeight="1" s="20">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15.75" customHeight="1" s="20">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15.75" customHeight="1" s="20">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15.75" customHeight="1" s="20">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15.75" customHeight="1" s="20">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5.75" customHeight="1" s="20">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5.75" customHeight="1" s="20">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15.75" customHeight="1" s="20">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15.75" customHeight="1" s="2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15.75" customHeight="1" s="20">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15.75" customHeight="1" s="20">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20">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20">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20">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20">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20">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20">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20">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2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20">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20">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20">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20">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20">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20">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20">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20">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20">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2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20">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20">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20">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20">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20">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20">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20">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20">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20">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2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20">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20">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20">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20">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20">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20">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20">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20">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20">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2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20">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20">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20">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20">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20">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20">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20">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20">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20">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2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20">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20">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20">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20">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20">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20">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20">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20">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20">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2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20">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20">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20">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20">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20">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20">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20">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20">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20">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2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20">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20">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20">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20">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20">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20">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20">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20">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20">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20">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20">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20">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20">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20">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20">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20">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20">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20">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2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20">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20">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20">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20">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20">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20">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20">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20">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20">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2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20">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20">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20">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20">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20">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20">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20">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20">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20">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2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20">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20">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20">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20">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20">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20">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20">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20">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20">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2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20">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20">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20">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20">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20">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20">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20">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20">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20">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2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20">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20">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20">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20">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20">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20">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20">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20">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20">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2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20">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20">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20">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20">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20">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20">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20">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20">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20">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2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20">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20">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20">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20">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20">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20">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20">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20">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20">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2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20">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20">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20">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20">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20">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20">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20">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20">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20">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2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20">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20">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20">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20">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20">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20">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20">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20">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20">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20">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20">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20">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20">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20">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20">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20">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20">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20">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2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20">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20">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20">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20">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20">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20">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20">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20">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20">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2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20">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20">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20">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20">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ht="15.75" customHeight="1" s="20">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ht="15.75" customHeight="1" s="20">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ht="15.75" customHeight="1" s="20">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ht="15.75" customHeight="1" s="20">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ht="15.75" customHeight="1" s="20">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ht="15.75" customHeight="1" s="2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ht="15.75" customHeight="1" s="20">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ht="15.75" customHeight="1" s="20">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ht="15.75" customHeight="1" s="20">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ht="15.75" customHeight="1" s="20">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ht="15.75" customHeight="1" s="20">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ht="15.75" customHeight="1" s="20">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ht="15.75" customHeight="1" s="20">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ht="15.75" customHeight="1" s="20">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ht="15.75" customHeight="1" s="20">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ht="15.75" customHeight="1" s="2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ht="15.75" customHeight="1" s="20">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ht="15.75" customHeight="1" s="20">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ht="15.75" customHeight="1" s="20">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ht="15.75" customHeight="1" s="20">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ht="15.75" customHeight="1" s="20">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ht="15.75" customHeight="1" s="20">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ht="15.75" customHeight="1" s="20">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ht="15.75" customHeight="1" s="20">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ht="15.75" customHeight="1" s="20">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ht="15.75" customHeight="1" s="2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ht="15.75" customHeight="1" s="20">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ht="15.75" customHeight="1" s="20">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ht="15.75" customHeight="1" s="20">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ht="15.75" customHeight="1" s="20">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ht="15.75" customHeight="1" s="20">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ht="15.75" customHeight="1" s="20">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ht="15.75" customHeight="1" s="20">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ht="15.75" customHeight="1" s="20">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ht="15.75" customHeight="1" s="20">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ht="15.75" customHeight="1" s="2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ht="15.75" customHeight="1" s="20">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ht="15.75" customHeight="1" s="20">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ht="15.75" customHeight="1" s="20">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ht="15.75" customHeight="1" s="20">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ht="15.75" customHeight="1" s="20">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ht="15.75" customHeight="1" s="20">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ht="15.75" customHeight="1" s="20">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ht="15.75" customHeight="1" s="20">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ht="15.75" customHeight="1" s="20">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ht="15.75" customHeight="1" s="2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ht="15.75" customHeight="1" s="20">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ht="15.75" customHeight="1" s="20">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ht="15.75" customHeight="1" s="20">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ht="15.75" customHeight="1" s="20">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ht="15.75" customHeight="1" s="20">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20">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20">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20">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20">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2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20">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20">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20">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20">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20">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20">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20">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ht="15.75" customHeight="1" s="20">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ht="15.75" customHeight="1" s="20">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ht="15.75" customHeight="1" s="2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ht="15.75" customHeight="1" s="20">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ht="15.75" customHeight="1" s="20">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ht="15.75" customHeight="1" s="20">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ht="15.75" customHeight="1" s="20">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ht="15.75" customHeight="1" s="20">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ht="15.75" customHeight="1" s="20">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ht="15.75" customHeight="1" s="20">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ht="15.75" customHeight="1" s="20">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ht="15.75" customHeight="1" s="20">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ht="15.75" customHeight="1" s="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ht="15.75" customHeight="1" s="20">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ht="15.75" customHeight="1" s="20">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ht="15.75" customHeight="1" s="20">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ht="15.75" customHeight="1" s="20">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ht="15.75" customHeight="1" s="20">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ht="15.75" customHeight="1" s="20">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ht="15.75" customHeight="1" s="20">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ht="15.75" customHeight="1" s="20">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ht="15.75" customHeight="1" s="20">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ht="15.75" customHeight="1" s="2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ht="15.75" customHeight="1" s="20">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ht="15.75" customHeight="1" s="20">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ht="15.75" customHeight="1" s="20">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ht="15.75" customHeight="1" s="20">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ht="15.75" customHeight="1" s="20">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ht="15.75" customHeight="1" s="20">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ht="15.75" customHeight="1" s="20">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ht="15.75" customHeight="1" s="20">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ht="15.75" customHeight="1" s="20">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ht="15.75" customHeight="1" s="2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ht="15.75" customHeight="1" s="20">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ht="15.75" customHeight="1" s="20">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ht="15.75" customHeight="1" s="20">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ht="15.75" customHeight="1" s="20">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ht="15.75" customHeight="1" s="20">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ht="15.75" customHeight="1" s="20">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ht="15.75" customHeight="1" s="20">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ht="15.75" customHeight="1" s="20">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ht="15.75" customHeight="1" s="20">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ht="15.75" customHeight="1" s="2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ht="15.75" customHeight="1" s="20">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ht="15.75" customHeight="1" s="20">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ht="15.75" customHeight="1" s="20">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ht="15.75" customHeight="1" s="20">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ht="15.75" customHeight="1" s="20">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ht="15.75" customHeight="1" s="20">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ht="15.75" customHeight="1" s="20">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20">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20">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2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20">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ht="15.75" customHeight="1" s="20">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ht="15.75" customHeight="1" s="20">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ht="15.75" customHeight="1" s="20">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ht="15.75" customHeight="1" s="20">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ht="15.75" customHeight="1" s="20">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ht="15.75" customHeight="1" s="20">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ht="15.75" customHeight="1" s="20">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ht="15.75" customHeight="1" s="20">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ht="15.75" customHeight="1" s="2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ht="15.75" customHeight="1" s="20">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ht="15.75" customHeight="1" s="20">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ht="15.75" customHeight="1" s="20">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ht="15.75" customHeight="1" s="20">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ht="15.75" customHeight="1" s="20">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ht="15.75" customHeight="1" s="20">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ht="15.75" customHeight="1" s="20">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ht="15.75" customHeight="1" s="20">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ht="15.75" customHeight="1" s="20">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ht="15.75" customHeight="1" s="2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ht="15.75" customHeight="1" s="20">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ht="15.75" customHeight="1" s="20">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ht="15.75" customHeight="1" s="20">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ht="15.75" customHeight="1" s="20">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ht="15.75" customHeight="1" s="20">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ht="15.75" customHeight="1" s="20">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ht="15.75" customHeight="1" s="20">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ht="15.75" customHeight="1" s="20">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ht="15.75" customHeight="1" s="20">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ht="15.75" customHeight="1" s="2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ht="15.75" customHeight="1" s="20">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ht="15.75" customHeight="1" s="20">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ht="15.75" customHeight="1" s="20">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ht="15.75" customHeight="1" s="20">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ht="15.75" customHeight="1" s="20">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ht="15.75" customHeight="1" s="20">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ht="15.75" customHeight="1" s="20">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ht="15.75" customHeight="1" s="20">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ht="15.75" customHeight="1" s="20">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ht="15.75" customHeight="1" s="2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ht="15.75" customHeight="1" s="20">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ht="15.75" customHeight="1" s="20">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ht="15.75" customHeight="1" s="20">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ht="15.75" customHeight="1" s="20">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ht="15.75" customHeight="1" s="20">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ht="15.75" customHeight="1" s="20">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ht="15.75" customHeight="1" s="20">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ht="15.75" customHeight="1" s="20">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ht="15.75" customHeight="1" s="20">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ht="15.75" customHeight="1" s="2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ht="15.75" customHeight="1" s="20">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ht="15.75" customHeight="1" s="20">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ht="15.75" customHeight="1" s="20">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ht="15.75" customHeight="1" s="20">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ht="15.75" customHeight="1" s="20">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ht="15.75" customHeight="1" s="20">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ht="15.75" customHeight="1" s="20">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ht="15.75" customHeight="1" s="20">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ht="15.75" customHeight="1" s="20">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ht="15.75" customHeight="1" s="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ht="15.75" customHeight="1" s="20">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ht="15.75" customHeight="1" s="20">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ht="15.75" customHeight="1" s="20">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ht="15.75" customHeight="1" s="20">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ht="15.75" customHeight="1" s="20">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ht="15.75" customHeight="1" s="20">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ht="15.75" customHeight="1" s="20">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ht="15.75" customHeight="1" s="20">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ht="15.75" customHeight="1" s="20">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ht="15.75" customHeight="1" s="2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ht="15.75" customHeight="1" s="20">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ht="15.75" customHeight="1" s="20">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ht="15.75" customHeight="1" s="20">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ht="15.75" customHeight="1" s="20">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ht="15.75" customHeight="1" s="20">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ht="15.75" customHeight="1" s="20">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ht="15.75" customHeight="1" s="20">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ht="15.75" customHeight="1" s="20">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ht="15.75" customHeight="1" s="20">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ht="15.75" customHeight="1" s="2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ht="15.75" customHeight="1" s="20">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ht="15.75" customHeight="1" s="20">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ht="15.75" customHeight="1" s="20">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ht="15.75" customHeight="1" s="20">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ht="15.75" customHeight="1" s="20">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ht="15.75" customHeight="1" s="20">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ht="15.75" customHeight="1" s="20">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ht="15.75" customHeight="1" s="20">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ht="15.75" customHeight="1" s="20">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ht="15.75" customHeight="1" s="2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ht="15.75" customHeight="1" s="20">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ht="15.75" customHeight="1" s="20">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ht="15.75" customHeight="1" s="20">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ht="15.75" customHeight="1" s="20">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ht="15.75" customHeight="1" s="20">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ht="15.75" customHeight="1" s="20">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ht="15.75" customHeight="1" s="20">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ht="15.75" customHeight="1" s="20">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ht="15.75" customHeight="1" s="20">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ht="15.75" customHeight="1" s="2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ht="15.75" customHeight="1" s="20">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ht="15.75" customHeight="1" s="20">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ht="15.75" customHeight="1" s="20">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ht="15.75" customHeight="1" s="20">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ht="15.75" customHeight="1" s="20">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ht="15.75" customHeight="1" s="20">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ht="15.75" customHeight="1" s="20">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ht="15.75" customHeight="1" s="20">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ht="15.75" customHeight="1" s="20">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ht="15.75" customHeight="1" s="2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ht="15.75" customHeight="1" s="20">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ht="15.75" customHeight="1" s="20">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ht="15.75" customHeight="1" s="20">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ht="15.75" customHeight="1" s="20">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ht="15.75" customHeight="1" s="20">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ht="15.75" customHeight="1" s="20">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ht="15.75" customHeight="1" s="20">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ht="15.75" customHeight="1" s="20">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ht="15.75" customHeight="1" s="20">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ht="15.75" customHeight="1" s="2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ht="15.75" customHeight="1" s="20">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ht="15.75" customHeight="1" s="20">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ht="15.75" customHeight="1" s="20">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ht="15.75" customHeight="1" s="20">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ht="15.75" customHeight="1" s="20">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ht="15.75" customHeight="1" s="20">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ht="15.75" customHeight="1" s="20">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ht="15.75" customHeight="1" s="20">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ht="15.75" customHeight="1" s="20">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ht="15.75" customHeight="1" s="2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ht="15.75" customHeight="1" s="20">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ht="15.75" customHeight="1" s="20">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ht="15.75" customHeight="1" s="20">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ht="15.75" customHeight="1" s="20">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ht="15.75" customHeight="1" s="20">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ht="15.75" customHeight="1" s="20">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ht="15.75" customHeight="1" s="20">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ht="15.75" customHeight="1" s="20">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ht="15.75" customHeight="1" s="20">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ht="15.75" customHeight="1" s="2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ht="15.75" customHeight="1" s="20">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ht="15.75" customHeight="1" s="20">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ht="15.75" customHeight="1" s="20">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ht="15.75" customHeight="1" s="20">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ht="15.75" customHeight="1" s="20">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ht="15.75" customHeight="1" s="20">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ht="15.75" customHeight="1" s="20">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ht="15.75" customHeight="1" s="20">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ht="15.75" customHeight="1" s="20">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ht="15.75" customHeight="1" s="2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ht="15.75" customHeight="1" s="20">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ht="15.75" customHeight="1" s="20">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ht="15.75" customHeight="1" s="20">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ht="15.75" customHeight="1" s="20">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ht="15.75" customHeight="1" s="20">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ht="15.75" customHeight="1" s="20">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ht="15.75" customHeight="1" s="20">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ht="15.75" customHeight="1" s="20">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ht="15.75" customHeight="1" s="20">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ht="15.75" customHeight="1" s="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ht="15.75" customHeight="1" s="20">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ht="15.75" customHeight="1" s="20">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ht="15.75" customHeight="1" s="20">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ht="15.75" customHeight="1" s="20">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ht="15.75" customHeight="1" s="20">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ht="15.75" customHeight="1" s="20">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ht="15.75" customHeight="1" s="20">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ht="15.75" customHeight="1" s="20">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ht="15.75" customHeight="1" s="20">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ht="15.75" customHeight="1" s="2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ht="15.75" customHeight="1" s="20">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ht="15.75" customHeight="1" s="20">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ht="15.75" customHeight="1" s="20">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ht="15.75" customHeight="1" s="20">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ht="15.75" customHeight="1" s="20">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ht="15.75" customHeight="1" s="20">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ht="15.75" customHeight="1" s="20">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ht="15.75" customHeight="1" s="20">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ht="15.75" customHeight="1" s="20">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ht="15.75" customHeight="1" s="2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ht="15.75" customHeight="1" s="20">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ht="15.75" customHeight="1" s="20">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ht="15.75" customHeight="1" s="20">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ht="15.75" customHeight="1" s="20">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ht="15.75" customHeight="1" s="20">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ht="15.75" customHeight="1" s="20">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ht="15.75" customHeight="1" s="20">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ht="15.75" customHeight="1" s="20">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ht="15.75" customHeight="1" s="20">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ht="15.75" customHeight="1" s="2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ht="15.75" customHeight="1" s="20">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ht="15.75" customHeight="1" s="20">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ht="15.75" customHeight="1" s="20">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ht="15.75" customHeight="1" s="20">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ht="15.75" customHeight="1" s="20">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ht="15.75" customHeight="1" s="20">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ht="15.75" customHeight="1" s="20">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ht="15.75" customHeight="1" s="20">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ht="15.75" customHeight="1" s="20">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ht="15.75" customHeight="1" s="2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ht="15.75" customHeight="1" s="20">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ht="15.75" customHeight="1" s="20">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ht="15.75" customHeight="1" s="20">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ht="15.75" customHeight="1" s="20">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ht="15.75" customHeight="1" s="20">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ht="15.75" customHeight="1" s="20">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ht="15.75" customHeight="1" s="20">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ht="15.75" customHeight="1" s="20">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ht="15.75" customHeight="1" s="20">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ht="15.75" customHeight="1" s="2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ht="15.75" customHeight="1" s="20">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ht="15.75" customHeight="1" s="20">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ht="15.75" customHeight="1" s="20">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ht="15.75" customHeight="1" s="20">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ht="15.75" customHeight="1" s="20">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ht="15.75" customHeight="1" s="20">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ht="15.75" customHeight="1" s="20">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ht="15.75" customHeight="1" s="20">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ht="15.75" customHeight="1" s="20">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ht="15.75" customHeight="1" s="2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ht="15.75" customHeight="1" s="20">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ht="15.75" customHeight="1" s="20">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ht="15.75" customHeight="1" s="20">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ht="15.75" customHeight="1" s="20">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ht="15.75" customHeight="1" s="20">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ht="15.75" customHeight="1" s="20">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ht="15.75" customHeight="1" s="20">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ht="15.75" customHeight="1" s="20">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ht="15.75" customHeight="1" s="20">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ht="15.75" customHeight="1" s="2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ht="15.75" customHeight="1" s="20">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ht="15.75" customHeight="1" s="20">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ht="15.75" customHeight="1" s="20">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ht="15.75" customHeight="1" s="20">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ht="15.75" customHeight="1" s="20">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ht="15.75" customHeight="1" s="20">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ht="15.75" customHeight="1" s="20">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ht="15.75" customHeight="1" s="20">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ht="15.75" customHeight="1" s="20">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ht="15.75" customHeight="1" s="2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ht="15.75" customHeight="1" s="20">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ht="15.75" customHeight="1" s="20">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ht="15.75" customHeight="1" s="20">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ht="15.75" customHeight="1" s="20">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ht="15.75" customHeight="1" s="20">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ht="15.75" customHeight="1" s="20">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ht="15.75" customHeight="1" s="20">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ht="15.75" customHeight="1" s="20">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ht="15.75" customHeight="1" s="20">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ht="15.75" customHeight="1" s="2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ht="15.75" customHeight="1" s="20">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ht="15.75" customHeight="1" s="20">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ht="15.75" customHeight="1" s="20">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ht="15.75" customHeight="1" s="20">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ht="15.75" customHeight="1" s="20">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ht="15.75" customHeight="1" s="20">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ht="15.75" customHeight="1" s="20">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ht="15.75" customHeight="1" s="20">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ht="15.75" customHeight="1" s="20">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ht="15.75" customHeight="1" s="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ht="15.75" customHeight="1" s="20">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ht="15.75" customHeight="1" s="20">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ht="15.75" customHeight="1" s="20">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ht="15.75" customHeight="1" s="20">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ht="15.75" customHeight="1" s="20">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ht="15.75" customHeight="1" s="20">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ht="15.75" customHeight="1" s="20">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ht="15.75" customHeight="1" s="20">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ht="15.75" customHeight="1" s="20">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ht="15.75" customHeight="1" s="2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ht="15.75" customHeight="1" s="20">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ht="15.75" customHeight="1" s="20">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ht="15.75" customHeight="1" s="20">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ht="15.75" customHeight="1" s="20">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ht="15.75" customHeight="1" s="20">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ht="15.75" customHeight="1" s="20">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ht="15.75" customHeight="1" s="20">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ht="15.75" customHeight="1" s="20">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ht="15.75" customHeight="1" s="20">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ht="15.75" customHeight="1" s="2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ht="15.75" customHeight="1" s="20">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ht="15.75" customHeight="1" s="20">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ht="15.75" customHeight="1" s="20">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ht="15.75" customHeight="1" s="20">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ht="15.75" customHeight="1" s="20">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ht="15.75" customHeight="1" s="20">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ht="15.75" customHeight="1" s="20">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ht="15.75" customHeight="1" s="20">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ht="15.75" customHeight="1" s="20">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ht="15.75" customHeight="1" s="2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ht="15.75" customHeight="1" s="20">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ht="15.75" customHeight="1" s="20">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ht="15.75" customHeight="1" s="20">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ht="15.75" customHeight="1" s="20">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ht="15.75" customHeight="1" s="20">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ht="15.75" customHeight="1" s="20">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ht="15.75" customHeight="1" s="20">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ht="15.75" customHeight="1" s="20">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ht="15.75" customHeight="1" s="20">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ht="15.75" customHeight="1" s="2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ht="15.75" customHeight="1" s="20">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ht="15.75" customHeight="1" s="20">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ht="15.75" customHeight="1" s="20">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ht="15.75" customHeight="1" s="20">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ht="15.75" customHeight="1" s="20">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ht="15.75" customHeight="1" s="20">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ht="15.75" customHeight="1" s="20">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ht="15.75" customHeight="1" s="20">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ht="15.75" customHeight="1" s="20">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ht="15.75" customHeight="1" s="2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ht="15.75" customHeight="1" s="20">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ht="15.75" customHeight="1" s="20">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ht="15.75" customHeight="1" s="20">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ht="15.75" customHeight="1" s="20">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ht="15.75" customHeight="1" s="20">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ht="15.75" customHeight="1" s="20">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ht="15.75" customHeight="1" s="20">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ht="15.75" customHeight="1" s="20">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ht="15.75" customHeight="1" s="20">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ht="15.75" customHeight="1" s="2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ht="15.75" customHeight="1" s="20">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ht="15.75" customHeight="1" s="20">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ht="15.75" customHeight="1" s="20">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ht="15.75" customHeight="1" s="20">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ht="15.75" customHeight="1" s="20">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ht="15.75" customHeight="1" s="20">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ht="15.75" customHeight="1" s="20">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ht="15.75" customHeight="1" s="20">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ht="15.75" customHeight="1" s="20">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ht="15.75" customHeight="1" s="2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ht="15.75" customHeight="1" s="20">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ht="15.75" customHeight="1" s="20">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ht="15.75" customHeight="1" s="20">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ht="15.75" customHeight="1" s="20">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ht="15.75" customHeight="1" s="20">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ht="15.75" customHeight="1" s="20">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ht="15.75" customHeight="1" s="20">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ht="15.75" customHeight="1" s="20">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ht="15.75" customHeight="1" s="20">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ht="15.75" customHeight="1" s="2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ht="15.75" customHeight="1" s="20">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ht="15.75" customHeight="1" s="20">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ht="15.75" customHeight="1" s="20">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ht="15.75" customHeight="1" s="20">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ht="15.75" customHeight="1" s="20">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ht="15.75" customHeight="1" s="20">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ht="15.75" customHeight="1" s="20">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ht="15.75" customHeight="1" s="20">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ht="15.75" customHeight="1" s="20">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ht="15.75" customHeight="1" s="2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ht="15.75" customHeight="1" s="20">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ht="15.75" customHeight="1" s="20">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ht="15.75" customHeight="1" s="20">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ht="15.75" customHeight="1" s="20">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ht="15.75" customHeight="1" s="20">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ht="15.75" customHeight="1" s="20">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ht="15.75" customHeight="1" s="20">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ht="15.75" customHeight="1" s="20">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ht="15.75" customHeight="1" s="20">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ht="15.75" customHeight="1" s="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ht="15.75" customHeight="1" s="20">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ht="15.75" customHeight="1" s="20">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ht="15.75" customHeight="1" s="20">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ht="15.75" customHeight="1" s="20">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ht="15.75" customHeight="1" s="20">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ht="15.75" customHeight="1" s="20">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ht="15.75" customHeight="1" s="20">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ht="15.75" customHeight="1" s="20">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ht="15.75" customHeight="1" s="20">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ht="15.75" customHeight="1" s="2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ht="15.75" customHeight="1" s="20">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ht="15.75" customHeight="1" s="20">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ht="15.75" customHeight="1" s="20">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ht="15.75" customHeight="1" s="20">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ht="15.75" customHeight="1" s="20">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ht="15.75" customHeight="1" s="20">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ht="15.75" customHeight="1" s="20">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ht="15.75" customHeight="1" s="20">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ht="15.75" customHeight="1" s="20">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ht="15.75" customHeight="1" s="2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ht="15.75" customHeight="1" s="20">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ht="15.75" customHeight="1" s="20">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ht="15.75" customHeight="1" s="20">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ht="15.75" customHeight="1" s="20">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ht="15.75" customHeight="1" s="20">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ht="15.75" customHeight="1" s="20">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ht="15.75" customHeight="1" s="20">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ht="15.75" customHeight="1" s="20">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ht="15.75" customHeight="1" s="20">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ht="15.75" customHeight="1" s="2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ht="15.75" customHeight="1" s="20">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ht="15.75" customHeight="1" s="20">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ht="15.75" customHeight="1" s="20">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ht="15.75" customHeight="1" s="20">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ht="15.75" customHeight="1" s="20">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ht="15.75" customHeight="1" s="20">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ht="15.75" customHeight="1" s="20">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ht="15.75" customHeight="1" s="20">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ht="15.75" customHeight="1" s="20">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ht="15.75" customHeight="1" s="2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ht="15.75" customHeight="1" s="20">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ht="15.75" customHeight="1" s="20">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ht="15.75" customHeight="1" s="20">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ht="15.75" customHeight="1" s="20">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ht="15.75" customHeight="1" s="20">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ht="15.75" customHeight="1" s="20">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ht="15.75" customHeight="1" s="20">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ht="15.75" customHeight="1" s="20">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ht="15.75" customHeight="1" s="20">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ht="15.75" customHeight="1" s="2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ht="15.75" customHeight="1" s="20">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ht="15.75" customHeight="1" s="20">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ht="15.75" customHeight="1" s="20">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ht="15.75" customHeight="1" s="20">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ht="15.75" customHeight="1" s="20">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ht="15.75" customHeight="1" s="20">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ht="15.75" customHeight="1" s="20">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ht="15.75" customHeight="1" s="20">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ht="15.75" customHeight="1" s="20">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ht="15.75" customHeight="1" s="2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ht="15.75" customHeight="1" s="20">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ht="15.75" customHeight="1" s="20">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ht="15.75" customHeight="1" s="20">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ht="15.75" customHeight="1" s="20">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ht="15.75" customHeight="1" s="20">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ht="15.75" customHeight="1" s="20">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ht="15.75" customHeight="1" s="20">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ht="15.75" customHeight="1" s="20">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ht="15.75" customHeight="1" s="20">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ht="15.75" customHeight="1" s="2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ht="15.75" customHeight="1" s="20">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ht="15.75" customHeight="1" s="20">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ht="15.75" customHeight="1" s="20">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ht="15.75" customHeight="1" s="20">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ht="15.75" customHeight="1" s="20">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ht="15.75" customHeight="1" s="20">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ht="15.75" customHeight="1" s="20">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ht="15.75" customHeight="1" s="20">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ht="15.75" customHeight="1" s="20">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ht="15.75" customHeight="1" s="2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ht="15.75" customHeight="1" s="20">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ht="15.75" customHeight="1" s="20">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ht="15.75" customHeight="1" s="20">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ht="15.75" customHeight="1" s="20">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ht="15.75" customHeight="1" s="20">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ht="15.75" customHeight="1" s="20">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ht="15.75" customHeight="1" s="20">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ht="15.75" customHeight="1" s="20">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ht="15.75" customHeight="1" s="20">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ht="15.75" customHeight="1" s="2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ht="15.75" customHeight="1" s="20">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ht="15.75" customHeight="1" s="20">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ht="15.75" customHeight="1" s="20">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ht="15.75" customHeight="1" s="20">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ht="15.75" customHeight="1" s="20">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ht="15.75" customHeight="1" s="20">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ht="15.75" customHeight="1" s="20">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ht="15.75" customHeight="1" s="20">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ht="15.75" customHeight="1" s="20">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ht="15.75" customHeight="1" s="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ht="15.75" customHeight="1" s="20">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ht="15.75" customHeight="1" s="20">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ht="15.75" customHeight="1" s="20">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ht="15.75" customHeight="1" s="20">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ht="15.75" customHeight="1" s="20">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ht="15.75" customHeight="1" s="20">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ht="15.75" customHeight="1" s="20">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ht="15.75" customHeight="1" s="20">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ht="15.75" customHeight="1" s="20">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ht="15.75" customHeight="1" s="2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ht="15.75" customHeight="1" s="20">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ht="15.75" customHeight="1" s="20">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ht="15.75" customHeight="1" s="20">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ht="15.75" customHeight="1" s="20">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ht="15.75" customHeight="1" s="20">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ht="15.75" customHeight="1" s="20">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ht="15.75" customHeight="1" s="20">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ht="15.75" customHeight="1" s="20">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ht="15.75" customHeight="1" s="20">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ht="15.75" customHeight="1" s="2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ht="15.75" customHeight="1" s="20">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ht="15.75" customHeight="1" s="20">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ht="15.75" customHeight="1" s="20">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ht="15.75" customHeight="1" s="20">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ht="15.75" customHeight="1" s="20">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ht="15.75" customHeight="1" s="20">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ht="15.75" customHeight="1" s="20">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ht="15.75" customHeight="1" s="20">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ht="15.75" customHeight="1" s="20">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ht="15.75" customHeight="1" s="2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ht="15.75" customHeight="1" s="20">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ht="15.75" customHeight="1" s="20">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ht="15.75" customHeight="1" s="20">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ht="15.75" customHeight="1" s="20">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ht="15.75" customHeight="1" s="20">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ht="15.75" customHeight="1" s="20">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ht="15.75" customHeight="1" s="20">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ht="15.75" customHeight="1" s="20">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ht="15.75" customHeight="1" s="20">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ht="15.75" customHeight="1" s="2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ht="15.75" customHeight="1" s="20">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ht="15.75" customHeight="1" s="20">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ht="15.75" customHeight="1" s="20">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ht="15.75" customHeight="1" s="20">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ht="15.75" customHeight="1" s="20">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ht="15.75" customHeight="1" s="20">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ht="15.75" customHeight="1" s="20">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ht="15.75" customHeight="1" s="20">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ht="15.75" customHeight="1" s="20">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ht="15.75" customHeight="1" s="2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ht="15.75" customHeight="1" s="20">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ht="15.75" customHeight="1" s="20">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ht="15.75" customHeight="1" s="20">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ht="15.75" customHeight="1" s="20">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ht="15.75" customHeight="1" s="20">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ht="15.75" customHeight="1" s="20">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ht="15.75" customHeight="1" s="20">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ht="15.75" customHeight="1" s="20">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ht="15.75" customHeight="1" s="20">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ht="15.75" customHeight="1" s="2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ht="15.75" customHeight="1" s="20">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ht="15.75" customHeight="1" s="20">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ht="15.75" customHeight="1" s="20">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ht="15.75" customHeight="1" s="20">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ht="15.75" customHeight="1" s="20">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ht="15.75" customHeight="1" s="20">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ht="15.75" customHeight="1" s="20">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ht="15.75" customHeight="1" s="20">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ht="15.75" customHeight="1" s="20">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ht="15.75" customHeight="1" s="2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ht="15.75" customHeight="1" s="20">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ht="15.75" customHeight="1" s="20">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ht="15.75" customHeight="1" s="20">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ht="15.75" customHeight="1" s="20">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ht="15.75" customHeight="1" s="20">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ht="15.75" customHeight="1" s="20">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ht="15.75" customHeight="1" s="20">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ht="15.75" customHeight="1" s="20">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ht="15.75" customHeight="1" s="20">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ht="15.75" customHeight="1" s="2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ht="15.75" customHeight="1" s="20">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ht="15.75" customHeight="1" s="20">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ht="15.75" customHeight="1" s="20">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ht="15.75" customHeight="1" s="20">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ht="15.75" customHeight="1" s="20">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ht="15.75" customHeight="1" s="20">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ht="15.75" customHeight="1" s="20">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ht="15.75" customHeight="1" s="20">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ht="15.75" customHeight="1" s="20">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ht="15.75" customHeight="1" s="2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ht="15.75" customHeight="1" s="20">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ht="15.75" customHeight="1" s="20">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ht="15.75" customHeight="1" s="20">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ht="15.75" customHeight="1" s="20">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ht="15.75" customHeight="1" s="20">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ht="15.75" customHeight="1" s="20">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ht="15.75" customHeight="1" s="20">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ht="15.75" customHeight="1" s="20">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ht="15.75" customHeight="1" s="20">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ht="15.75" customHeight="1" s="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ht="15.75" customHeight="1" s="20">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ht="15.75" customHeight="1" s="20">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ht="15.75" customHeight="1" s="20">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ht="15.75" customHeight="1" s="20">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ht="15.75" customHeight="1" s="20">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ht="15.75" customHeight="1" s="20">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ht="15.75" customHeight="1" s="20">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ht="15.75" customHeight="1" s="20">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ht="15.75" customHeight="1" s="20">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ht="15.75" customHeight="1" s="2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ht="15.75" customHeight="1" s="20">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ht="15.75" customHeight="1" s="20">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ht="15.75" customHeight="1" s="20">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ht="15.75" customHeight="1" s="20">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ht="15.75" customHeight="1" s="20">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ht="15.75" customHeight="1" s="20">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ht="15.75" customHeight="1" s="20">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ht="15.75" customHeight="1" s="20">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ht="15.75" customHeight="1" s="20">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ht="15.75" customHeight="1" s="2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ht="15.75" customHeight="1" s="20">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ht="15.75" customHeight="1" s="20">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ht="15.75" customHeight="1" s="20">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ht="15.75" customHeight="1" s="20">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ht="15.75" customHeight="1" s="20">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ht="15.75" customHeight="1" s="20">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ht="15.75" customHeight="1" s="20">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ht="15.75" customHeight="1" s="20">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ht="15.75" customHeight="1" s="20">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ht="15.75" customHeight="1" s="2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ht="15.75" customHeight="1" s="20">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ht="15.75" customHeight="1" s="20">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ht="15.75" customHeight="1" s="20">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ht="15.75" customHeight="1" s="20">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ht="15.75" customHeight="1" s="20">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ht="15.75" customHeight="1" s="20">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ht="15.75" customHeight="1" s="20">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ht="15.75" customHeight="1" s="20">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ht="15.75" customHeight="1" s="20">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ht="15.75" customHeight="1" s="2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ht="15.75" customHeight="1" s="20">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ht="15.75" customHeight="1" s="20">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ht="15.75" customHeight="1" s="20">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ht="15.75" customHeight="1" s="20">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ht="15.75" customHeight="1" s="20">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ht="15.75" customHeight="1" s="20">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ht="15.75" customHeight="1" s="20">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ht="15.75" customHeight="1" s="20">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ht="15.75" customHeight="1" s="20">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ht="15.75" customHeight="1" s="2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ht="15.75" customHeight="1" s="20">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ht="15.75" customHeight="1" s="20">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ht="15.75" customHeight="1" s="20">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ht="15.75" customHeight="1" s="20">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ht="15.75" customHeight="1" s="20">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ht="15.75" customHeight="1" s="20">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ht="15.75" customHeight="1" s="20">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ht="15.75" customHeight="1" s="20">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ht="15.75" customHeight="1" s="20">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ht="15.75" customHeight="1" s="20">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ht="15.75" customHeight="1" s="20">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ht="15.75" customHeight="1" s="20">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ht="15.75" customHeight="1" s="20">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ht="15.75" customHeight="1" s="20">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ht="15.75" customHeight="1" s="20">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ht="15.75" customHeight="1" s="20">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ht="15.75" customHeight="1" s="20">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ht="15.75" customHeight="1" s="20">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ht="15.75" customHeight="1" s="20">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ht="15.75" customHeight="1" s="20">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ht="15.75" customHeight="1" s="20">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ht="15.75" customHeight="1" s="20">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ht="15.75" customHeight="1" s="20">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ht="15.75" customHeight="1" s="20">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ht="15.75" customHeight="1" s="20">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ht="15.75" customHeight="1" s="20">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ht="15.75" customHeight="1" s="20">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ht="15.75" customHeight="1" s="20">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ht="15.75" customHeight="1" s="20">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ht="15.75" customHeight="1" s="2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2026-10-22T19:39:59Z</dcterms:modified>
  <cp:revision>0</cp:revision>
</cp:coreProperties>
</file>