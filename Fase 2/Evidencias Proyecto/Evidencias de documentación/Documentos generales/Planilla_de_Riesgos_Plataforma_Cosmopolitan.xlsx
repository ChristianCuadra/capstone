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3520" tabRatio="500" firstSheet="0" activeTab="0" autoFilterDateGrouping="1"/>
  </bookViews>
  <sheets>
    <sheet xmlns:r="http://schemas.openxmlformats.org/officeDocument/2006/relationships" name="Planilla de Riesgos" sheetId="1" state="visible" r:id="rId1"/>
    <sheet xmlns:r="http://schemas.openxmlformats.org/officeDocument/2006/relationships" name="Matriz y Resumen" sheetId="2" state="visible" r:id="rId2"/>
    <sheet xmlns:r="http://schemas.openxmlformats.org/officeDocument/2006/relationships" name="Escalas y Criterios" sheetId="3" state="visible" r:id="rId3"/>
  </sheets>
  <definedNames>
    <definedName name="_xlnm._FilterDatabase" localSheetId="0" hidden="1">'Planilla de Riesgos'!$A$1:$S$70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sz val="9"/>
    </font>
    <font>
      <name val="Arial"/>
      <charset val="1"/>
      <b val="1"/>
      <color rgb="FF1F3864"/>
      <sz val="12"/>
    </font>
    <font>
      <name val="Arial"/>
      <charset val="1"/>
      <b val="1"/>
      <color rgb="FF000000"/>
      <sz val="12"/>
    </font>
    <font>
      <name val="Arial"/>
      <charset val="1"/>
      <b val="1"/>
      <color rgb="FFFFFFFF"/>
      <sz val="12"/>
    </font>
    <font>
      <name val="Arial"/>
      <charset val="1"/>
      <b val="1"/>
      <color rgb="FF1F3864"/>
      <sz val="11"/>
    </font>
    <font>
      <name val="Arial"/>
      <charset val="1"/>
      <b val="1"/>
      <color rgb="FF1F3864"/>
      <sz val="13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9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dxfs count="8">
    <dxf>
      <font>
        <name val="Arial"/>
        <charset val="1"/>
        <b val="1"/>
        <color rgb="FF000000"/>
        <sz val="10"/>
      </font>
      <fill>
        <patternFill>
          <bgColor rgb="FFC6E0B4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FE699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FC000"/>
        </patternFill>
      </fill>
    </dxf>
    <dxf>
      <font>
        <name val="Arial"/>
        <charset val="1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C6E0B4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FE699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FC000"/>
        </patternFill>
      </fill>
    </dxf>
    <dxf>
      <font>
        <name val="Arial"/>
        <charset val="1"/>
        <b val="1"/>
        <color rgb="FFFFFFFF"/>
        <sz val="10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tabSelected="1" zoomScale="85" zoomScaleNormal="85" workbookViewId="0">
      <pane xSplit="2" ySplit="1" topLeftCell="C6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10" defaultColWidth="8.7109375" defaultRowHeight="15"/>
  <cols>
    <col width="7" customWidth="1" min="1" max="1"/>
    <col width="20" customWidth="1" min="2" max="2"/>
    <col width="40" customWidth="1" min="3" max="3"/>
    <col width="38" customWidth="1" min="4" max="4"/>
    <col width="40" customWidth="1" min="5" max="5"/>
    <col width="9" customWidth="1" min="6" max="7"/>
    <col width="8" customWidth="1" min="8" max="8"/>
    <col width="11" customWidth="1" min="9" max="9"/>
    <col width="12" customWidth="1" min="10" max="10"/>
    <col width="54" customWidth="1" min="11" max="11"/>
    <col width="46" customWidth="1" min="12" max="12"/>
    <col width="17" customWidth="1" min="13" max="13"/>
    <col width="18" customWidth="1" min="14" max="14"/>
    <col width="10" customWidth="1" min="15" max="17"/>
    <col width="12" customWidth="1" min="18" max="18"/>
    <col width="11" customWidth="1" min="19" max="19"/>
  </cols>
  <sheetData>
    <row r="1" ht="42" customHeight="1">
      <c r="A1" s="3" t="inlineStr">
        <is>
          <t>ID</t>
        </is>
      </c>
      <c r="B1" s="3" t="inlineStr">
        <is>
          <t>Categoría</t>
        </is>
      </c>
      <c r="C1" s="3" t="inlineStr">
        <is>
          <t>Riesgo</t>
        </is>
      </c>
      <c r="D1" s="3" t="inlineStr">
        <is>
          <t>Causa probable</t>
        </is>
      </c>
      <c r="E1" s="3" t="inlineStr">
        <is>
          <t>Consecuencia si ocurre</t>
        </is>
      </c>
      <c r="F1" s="3" t="inlineStr">
        <is>
          <t>Prob. (1-5)</t>
        </is>
      </c>
      <c r="G1" s="3" t="inlineStr">
        <is>
          <t>Impacto (1-5)</t>
        </is>
      </c>
      <c r="H1" s="3" t="inlineStr">
        <is>
          <t>Nivel</t>
        </is>
      </c>
      <c r="I1" s="3" t="inlineStr">
        <is>
          <t>Severidad</t>
        </is>
      </c>
      <c r="J1" s="3" t="inlineStr">
        <is>
          <t>Estrategia</t>
        </is>
      </c>
      <c r="K1" s="3" t="inlineStr">
        <is>
          <t>Acciones de mitigación (preventivas)</t>
        </is>
      </c>
      <c r="L1" s="3" t="inlineStr">
        <is>
          <t>Plan de contingencia (si ocurre)</t>
        </is>
      </c>
      <c r="M1" s="3" t="inlineStr">
        <is>
          <t>Responsable</t>
        </is>
      </c>
      <c r="N1" s="3" t="inlineStr">
        <is>
          <t>Sprint / Fase</t>
        </is>
      </c>
      <c r="O1" s="3" t="inlineStr">
        <is>
          <t>Prob. residual</t>
        </is>
      </c>
      <c r="P1" s="3" t="inlineStr">
        <is>
          <t>Impacto residual</t>
        </is>
      </c>
      <c r="Q1" s="3" t="inlineStr">
        <is>
          <t>Nivel residual</t>
        </is>
      </c>
      <c r="R1" s="3" t="inlineStr">
        <is>
          <t>Severidad residual</t>
        </is>
      </c>
      <c r="S1" s="3" t="inlineStr">
        <is>
          <t>Estado</t>
        </is>
      </c>
    </row>
    <row r="2" ht="84" customHeight="1">
      <c r="A2" s="4" t="inlineStr">
        <is>
          <t>R-01</t>
        </is>
      </c>
      <c r="B2" s="5" t="inlineStr">
        <is>
          <t>Alcance</t>
        </is>
      </c>
      <c r="C2" s="5" t="inlineStr">
        <is>
          <t>Cambios de requerimientos por parte de la agencia durante el desarrollo</t>
        </is>
      </c>
      <c r="D2" s="5" t="inlineStr">
        <is>
          <t>La agencia no tiene sus procesos formalizados y ajusta lo solicitado a medida que ve los avances</t>
        </is>
      </c>
      <c r="E2" s="5" t="inlineStr">
        <is>
          <t>Retrabajo, sprints desbordados y riesgo de no alcanzar a cerrar las tres fases comprometidas</t>
        </is>
      </c>
      <c r="F2" s="4" t="n">
        <v>4</v>
      </c>
      <c r="G2" s="4" t="n">
        <v>4</v>
      </c>
      <c r="H2" s="4">
        <f>F2*G2</f>
        <v/>
      </c>
      <c r="I2" s="6">
        <f>IF(H2="","",IF(H2&lt;=5,"Bajo",IF(H2&lt;=10,"Medio",IF(H2&lt;=15,"Alto","Crítico"))))</f>
        <v/>
      </c>
      <c r="J2" s="5" t="inlineStr">
        <is>
          <t>Mitigar</t>
        </is>
      </c>
      <c r="K2" s="5" t="inlineStr">
        <is>
          <t>Backlog congelado al iniciar cada sprint; toda solicitud nueva ingresa al Product Backlog y se prioriza en la siguiente planificación; acta de acuerdos firmada en cada reunión de validación</t>
        </is>
      </c>
      <c r="L2" s="5" t="inlineStr">
        <is>
          <t>Reducir la Fase 3 a un MVP del portal (calendario editorial y aprobación de contenido) y documentar formalmente lo postergado</t>
        </is>
      </c>
      <c r="M2" s="5" t="inlineStr">
        <is>
          <t>Felipe Gutiérrez</t>
        </is>
      </c>
      <c r="N2" s="5" t="inlineStr">
        <is>
          <t>Sprint 0 - Sprint 5</t>
        </is>
      </c>
      <c r="O2" s="4" t="n">
        <v>2</v>
      </c>
      <c r="P2" s="4" t="n">
        <v>4</v>
      </c>
      <c r="Q2" s="4">
        <f>O2*P2</f>
        <v/>
      </c>
      <c r="R2" s="6">
        <f>IF(Q2="","",IF(Q2&lt;=5,"Bajo",IF(Q2&lt;=10,"Medio",IF(Q2&lt;=15,"Alto","Crítico"))))</f>
        <v/>
      </c>
      <c r="S2" s="5" t="inlineStr">
        <is>
          <t>Activo</t>
        </is>
      </c>
    </row>
    <row r="3" ht="84" customHeight="1">
      <c r="A3" s="7" t="inlineStr">
        <is>
          <t>R-02</t>
        </is>
      </c>
      <c r="B3" s="8" t="inlineStr">
        <is>
          <t>Alcance</t>
        </is>
      </c>
      <c r="C3" s="8" t="inlineStr">
        <is>
          <t>Solicitudes informales de funcionalidades por canales no oficiales</t>
        </is>
      </c>
      <c r="D3" s="8" t="inlineStr">
        <is>
          <t>La agencia pide cambios por WhatsApp o conversaciones sueltas que no quedan registradas</t>
        </is>
      </c>
      <c r="E3" s="8" t="inlineStr">
        <is>
          <t>Se desarrollan funciones no acordadas y se pierde trazabilidad de lo comprometido</t>
        </is>
      </c>
      <c r="F3" s="7" t="n">
        <v>4</v>
      </c>
      <c r="G3" s="7" t="n">
        <v>3</v>
      </c>
      <c r="H3" s="7">
        <f>F3*G3</f>
        <v/>
      </c>
      <c r="I3" s="9">
        <f>IF(H3="","",IF(H3&lt;=5,"Bajo",IF(H3&lt;=10,"Medio",IF(H3&lt;=15,"Alto","Crítico"))))</f>
        <v/>
      </c>
      <c r="J3" s="8" t="inlineStr">
        <is>
          <t>Mitigar</t>
        </is>
      </c>
      <c r="K3" s="8" t="inlineStr">
        <is>
          <t>Canal único de solicitudes definido en el Sprint 0; todo pedido informal se traslada al Product Backlog antes de ser trabajado; confirmación escrita de cada acuerdo</t>
        </is>
      </c>
      <c r="L3" s="8" t="inlineStr">
        <is>
          <t>Revisar el backlog junto a la agencia y descartar formalmente lo que no corresponda al alcance del Capstone</t>
        </is>
      </c>
      <c r="M3" s="8" t="inlineStr">
        <is>
          <t>Esteban Morales</t>
        </is>
      </c>
      <c r="N3" s="8" t="inlineStr">
        <is>
          <t>Sprint 0 - Sprint 5</t>
        </is>
      </c>
      <c r="O3" s="7" t="n">
        <v>2</v>
      </c>
      <c r="P3" s="7" t="n">
        <v>2</v>
      </c>
      <c r="Q3" s="7">
        <f>O3*P3</f>
        <v/>
      </c>
      <c r="R3" s="9">
        <f>IF(Q3="","",IF(Q3&lt;=5,"Bajo",IF(Q3&lt;=10,"Medio",IF(Q3&lt;=15,"Alto","Crítico"))))</f>
        <v/>
      </c>
      <c r="S3" s="8" t="inlineStr">
        <is>
          <t>Activo</t>
        </is>
      </c>
    </row>
    <row r="4" ht="84" customHeight="1">
      <c r="A4" s="4" t="inlineStr">
        <is>
          <t>R-03</t>
        </is>
      </c>
      <c r="B4" s="5" t="inlineStr">
        <is>
          <t>Alcance</t>
        </is>
      </c>
      <c r="C4" s="5" t="inlineStr">
        <is>
          <t>Expectativa de que la plataforma reemplace herramientas fuera del alcance</t>
        </is>
      </c>
      <c r="D4" s="5" t="inlineStr">
        <is>
          <t>La agencia asume que el sistema incluirá facturación, contabilidad o gestión de pagos</t>
        </is>
      </c>
      <c r="E4" s="5" t="inlineStr">
        <is>
          <t>Insatisfacción al momento de la entrega pese a cumplir lo comprometido</t>
        </is>
      </c>
      <c r="F4" s="4" t="n">
        <v>3</v>
      </c>
      <c r="G4" s="4" t="n">
        <v>3</v>
      </c>
      <c r="H4" s="4">
        <f>F4*G4</f>
        <v/>
      </c>
      <c r="I4" s="6">
        <f>IF(H4="","",IF(H4&lt;=5,"Bajo",IF(H4&lt;=10,"Medio",IF(H4&lt;=15,"Alto","Crítico"))))</f>
        <v/>
      </c>
      <c r="J4" s="5" t="inlineStr">
        <is>
          <t>Evitar</t>
        </is>
      </c>
      <c r="K4" s="5" t="inlineStr">
        <is>
          <t>Documento de alcance con un apartado explícito de exclusiones, revisado y aceptado por la agencia; recordatorio de las exclusiones en cada revisión de avance</t>
        </is>
      </c>
      <c r="L4" s="5" t="inlineStr">
        <is>
          <t>Dejar documentada la integración futura como una recomendación en el informe final, sin desarrollarla</t>
        </is>
      </c>
      <c r="M4" s="5" t="inlineStr">
        <is>
          <t>Felipe Gutiérrez</t>
        </is>
      </c>
      <c r="N4" s="5" t="inlineStr">
        <is>
          <t>Sprint 0</t>
        </is>
      </c>
      <c r="O4" s="4" t="n">
        <v>1</v>
      </c>
      <c r="P4" s="4" t="n">
        <v>3</v>
      </c>
      <c r="Q4" s="4">
        <f>O4*P4</f>
        <v/>
      </c>
      <c r="R4" s="6">
        <f>IF(Q4="","",IF(Q4&lt;=5,"Bajo",IF(Q4&lt;=10,"Medio",IF(Q4&lt;=15,"Alto","Crítico"))))</f>
        <v/>
      </c>
      <c r="S4" s="5" t="inlineStr">
        <is>
          <t>Activo</t>
        </is>
      </c>
    </row>
    <row r="5" ht="84" customHeight="1">
      <c r="A5" s="7" t="inlineStr">
        <is>
          <t>R-04</t>
        </is>
      </c>
      <c r="B5" s="8" t="inlineStr">
        <is>
          <t>Alcance</t>
        </is>
      </c>
      <c r="C5" s="8" t="inlineStr">
        <is>
          <t>Límite difuso entre lo que resuelve la plataforma y lo que sigue en herramientas externas</t>
        </is>
      </c>
      <c r="D5" s="8" t="inlineStr">
        <is>
          <t>Procesos de la agencia que quedan a medio camino entre el sistema y sus herramientas actuales</t>
        </is>
      </c>
      <c r="E5" s="8" t="inlineStr">
        <is>
          <t>Duplicidad de información y procesos que nadie ejecuta completamente en ningún lado</t>
        </is>
      </c>
      <c r="F5" s="7" t="n">
        <v>3</v>
      </c>
      <c r="G5" s="7" t="n">
        <v>3</v>
      </c>
      <c r="H5" s="7">
        <f>F5*G5</f>
        <v/>
      </c>
      <c r="I5" s="9">
        <f>IF(H5="","",IF(H5&lt;=5,"Bajo",IF(H5&lt;=10,"Medio",IF(H5&lt;=15,"Alto","Crítico"))))</f>
        <v/>
      </c>
      <c r="J5" s="8" t="inlineStr">
        <is>
          <t>Mitigar</t>
        </is>
      </c>
      <c r="K5" s="8" t="inlineStr">
        <is>
          <t>Mapa de procesos levantado en el Sprint 0 indicando, para cada actividad, si queda dentro o fuera del sistema; validación de ese mapa con los dos socios</t>
        </is>
      </c>
      <c r="L5" s="8" t="inlineStr">
        <is>
          <t>Documentar los puntos de traspaso manual en el manual de administración para que la agencia los opere de forma consciente</t>
        </is>
      </c>
      <c r="M5" s="8" t="inlineStr">
        <is>
          <t>Esteban Morales</t>
        </is>
      </c>
      <c r="N5" s="8" t="inlineStr">
        <is>
          <t>Sprint 0 - Sprint 1</t>
        </is>
      </c>
      <c r="O5" s="7" t="n">
        <v>2</v>
      </c>
      <c r="P5" s="7" t="n">
        <v>2</v>
      </c>
      <c r="Q5" s="7">
        <f>O5*P5</f>
        <v/>
      </c>
      <c r="R5" s="9">
        <f>IF(Q5="","",IF(Q5&lt;=5,"Bajo",IF(Q5&lt;=10,"Medio",IF(Q5&lt;=15,"Alto","Crítico"))))</f>
        <v/>
      </c>
      <c r="S5" s="8" t="inlineStr">
        <is>
          <t>Activo</t>
        </is>
      </c>
    </row>
    <row r="6" ht="84" customHeight="1">
      <c r="A6" s="4" t="inlineStr">
        <is>
          <t>R-05</t>
        </is>
      </c>
      <c r="B6" s="5" t="inlineStr">
        <is>
          <t>Stakeholders</t>
        </is>
      </c>
      <c r="C6" s="5" t="inlineStr">
        <is>
          <t>Baja disponibilidad de los socios de la agencia para validar avances</t>
        </is>
      </c>
      <c r="D6" s="5" t="inlineStr">
        <is>
          <t>La agencia la operan solo dos personas, absorbidas por el día a día con sus clientes</t>
        </is>
      </c>
      <c r="E6" s="5" t="inlineStr">
        <is>
          <t>Validaciones tardías y decisiones tomadas sobre supuestos no confirmados</t>
        </is>
      </c>
      <c r="F6" s="4" t="n">
        <v>4</v>
      </c>
      <c r="G6" s="4" t="n">
        <v>3</v>
      </c>
      <c r="H6" s="4">
        <f>F6*G6</f>
        <v/>
      </c>
      <c r="I6" s="6">
        <f>IF(H6="","",IF(H6&lt;=5,"Bajo",IF(H6&lt;=10,"Medio",IF(H6&lt;=15,"Alto","Crítico"))))</f>
        <v/>
      </c>
      <c r="J6" s="5" t="inlineStr">
        <is>
          <t>Mitigar</t>
        </is>
      </c>
      <c r="K6" s="5" t="inlineStr">
        <is>
          <t>Agenda fija de revisión quincenal de 30 minutos acordada en el Sprint 0; material enviado con 48 horas de anticipación; canal de validación asincrónica por correo cuando no haya reunión</t>
        </is>
      </c>
      <c r="L6" s="5" t="inlineStr">
        <is>
          <t>Avanzar con supuestos explícitamente documentados y marcados como pendientes de validación para la siguiente revisión</t>
        </is>
      </c>
      <c r="M6" s="5" t="inlineStr">
        <is>
          <t>Esteban Morales</t>
        </is>
      </c>
      <c r="N6" s="5" t="inlineStr">
        <is>
          <t>Sprint 0 - Sprint 5</t>
        </is>
      </c>
      <c r="O6" s="4" t="n">
        <v>2</v>
      </c>
      <c r="P6" s="4" t="n">
        <v>3</v>
      </c>
      <c r="Q6" s="4">
        <f>O6*P6</f>
        <v/>
      </c>
      <c r="R6" s="6">
        <f>IF(Q6="","",IF(Q6&lt;=5,"Bajo",IF(Q6&lt;=10,"Medio",IF(Q6&lt;=15,"Alto","Crítico"))))</f>
        <v/>
      </c>
      <c r="S6" s="5" t="inlineStr">
        <is>
          <t>Activo</t>
        </is>
      </c>
    </row>
    <row r="7" ht="84" customHeight="1">
      <c r="A7" s="7" t="inlineStr">
        <is>
          <t>R-06</t>
        </is>
      </c>
      <c r="B7" s="8" t="inlineStr">
        <is>
          <t>Stakeholders</t>
        </is>
      </c>
      <c r="C7" s="8" t="inlineStr">
        <is>
          <t>Definiciones contradictorias entre los dos socios de la agencia</t>
        </is>
      </c>
      <c r="D7" s="8" t="inlineStr">
        <is>
          <t>Cada socio tiene una visión distinta de cómo debe operar el proceso comercial</t>
        </is>
      </c>
      <c r="E7" s="8" t="inlineStr">
        <is>
          <t>Desarrollo detenido a la espera de una definición o funcionalidad rehecha tras la contradicción</t>
        </is>
      </c>
      <c r="F7" s="7" t="n">
        <v>3</v>
      </c>
      <c r="G7" s="7" t="n">
        <v>3</v>
      </c>
      <c r="H7" s="7">
        <f>F7*G7</f>
        <v/>
      </c>
      <c r="I7" s="9">
        <f>IF(H7="","",IF(H7&lt;=5,"Bajo",IF(H7&lt;=10,"Medio",IF(H7&lt;=15,"Alto","Crítico"))))</f>
        <v/>
      </c>
      <c r="J7" s="8" t="inlineStr">
        <is>
          <t>Mitigar</t>
        </is>
      </c>
      <c r="K7" s="8" t="inlineStr">
        <is>
          <t>Designar a un único interlocutor con autoridad de decisión; registrar cada definición en acta; presentar las alternativas en conjunto cuando exista discrepancia</t>
        </is>
      </c>
      <c r="L7" s="8" t="inlineStr">
        <is>
          <t>Escalar la decisión pendiente al docente guía y avanzar con la alternativa más simple, documentando el supuesto</t>
        </is>
      </c>
      <c r="M7" s="8" t="inlineStr">
        <is>
          <t>Felipe Gutiérrez</t>
        </is>
      </c>
      <c r="N7" s="8" t="inlineStr">
        <is>
          <t>Sprint 0 - Sprint 3</t>
        </is>
      </c>
      <c r="O7" s="7" t="n">
        <v>2</v>
      </c>
      <c r="P7" s="7" t="n">
        <v>2</v>
      </c>
      <c r="Q7" s="7">
        <f>O7*P7</f>
        <v/>
      </c>
      <c r="R7" s="9">
        <f>IF(Q7="","",IF(Q7&lt;=5,"Bajo",IF(Q7&lt;=10,"Medio",IF(Q7&lt;=15,"Alto","Crítico"))))</f>
        <v/>
      </c>
      <c r="S7" s="8" t="inlineStr">
        <is>
          <t>Activo</t>
        </is>
      </c>
    </row>
    <row r="8" ht="84" customHeight="1">
      <c r="A8" s="4" t="inlineStr">
        <is>
          <t>R-07</t>
        </is>
      </c>
      <c r="B8" s="5" t="inlineStr">
        <is>
          <t>Stakeholders</t>
        </is>
      </c>
      <c r="C8" s="5" t="inlineStr">
        <is>
          <t>La agencia no entrega información real para poblar y probar el sistema</t>
        </is>
      </c>
      <c r="D8" s="5" t="inlineStr">
        <is>
          <t>Datos de clientes, planes y precios dispersos o considerados sensibles por la agencia</t>
        </is>
      </c>
      <c r="E8" s="5" t="inlineStr">
        <is>
          <t>Pruebas realizadas con datos ficticios que no reflejan el comportamiento real del sistema</t>
        </is>
      </c>
      <c r="F8" s="4" t="n">
        <v>3</v>
      </c>
      <c r="G8" s="4" t="n">
        <v>3</v>
      </c>
      <c r="H8" s="4">
        <f>F8*G8</f>
        <v/>
      </c>
      <c r="I8" s="6">
        <f>IF(H8="","",IF(H8&lt;=5,"Bajo",IF(H8&lt;=10,"Medio",IF(H8&lt;=15,"Alto","Crítico"))))</f>
        <v/>
      </c>
      <c r="J8" s="5" t="inlineStr">
        <is>
          <t>Mitigar</t>
        </is>
      </c>
      <c r="K8" s="5" t="inlineStr">
        <is>
          <t>Solicitar un conjunto acotado de datos reales anonimizados en el Sprint 1; acuerdo de confidencialidad simple firmado por el equipo</t>
        </is>
      </c>
      <c r="L8" s="5" t="inlineStr">
        <is>
          <t>Construir un set de datos sintéticos que replique volúmenes y casos límite realistas</t>
        </is>
      </c>
      <c r="M8" s="5" t="inlineStr">
        <is>
          <t>Christian Cuadra</t>
        </is>
      </c>
      <c r="N8" s="5" t="inlineStr">
        <is>
          <t>Sprint 1 - Sprint 2</t>
        </is>
      </c>
      <c r="O8" s="4" t="n">
        <v>2</v>
      </c>
      <c r="P8" s="4" t="n">
        <v>2</v>
      </c>
      <c r="Q8" s="4">
        <f>O8*P8</f>
        <v/>
      </c>
      <c r="R8" s="6">
        <f>IF(Q8="","",IF(Q8&lt;=5,"Bajo",IF(Q8&lt;=10,"Medio",IF(Q8&lt;=15,"Alto","Crítico"))))</f>
        <v/>
      </c>
      <c r="S8" s="5" t="inlineStr">
        <is>
          <t>Activo</t>
        </is>
      </c>
    </row>
    <row r="9" ht="84" customHeight="1">
      <c r="A9" s="7" t="inlineStr">
        <is>
          <t>R-08</t>
        </is>
      </c>
      <c r="B9" s="8" t="inlineStr">
        <is>
          <t>Stakeholders</t>
        </is>
      </c>
      <c r="C9" s="8" t="inlineStr">
        <is>
          <t>Los clientes finales de la agencia no adoptan el portal</t>
        </is>
      </c>
      <c r="D9" s="8" t="inlineStr">
        <is>
          <t>Están acostumbrados a coordinar todo por WhatsApp y correo con la agencia</t>
        </is>
      </c>
      <c r="E9" s="8" t="inlineStr">
        <is>
          <t>El portal queda sin uso real y no se puede evidenciar su valor en la entrega final</t>
        </is>
      </c>
      <c r="F9" s="7" t="n">
        <v>3</v>
      </c>
      <c r="G9" s="7" t="n">
        <v>4</v>
      </c>
      <c r="H9" s="7">
        <f>F9*G9</f>
        <v/>
      </c>
      <c r="I9" s="9">
        <f>IF(H9="","",IF(H9&lt;=5,"Bajo",IF(H9&lt;=10,"Medio",IF(H9&lt;=15,"Alto","Crítico"))))</f>
        <v/>
      </c>
      <c r="J9" s="8" t="inlineStr">
        <is>
          <t>Mitigar</t>
        </is>
      </c>
      <c r="K9" s="8" t="inlineStr">
        <is>
          <t>Diseño enfocado en simplicidad y acceso desde móvil; notificaciones por correo que llevan directo a la acción dentro del portal; plan de puesta en marcha con dos clientes piloto</t>
        </is>
      </c>
      <c r="L9" s="8" t="inlineStr">
        <is>
          <t>Documentar la adopción como un indicador de la marcha blanca y evidenciar el funcionamiento con los clientes piloto</t>
        </is>
      </c>
      <c r="M9" s="8" t="inlineStr">
        <is>
          <t>Esteban Morales</t>
        </is>
      </c>
      <c r="N9" s="8" t="inlineStr">
        <is>
          <t>Sprint 3 - Sprint 5</t>
        </is>
      </c>
      <c r="O9" s="7" t="n">
        <v>2</v>
      </c>
      <c r="P9" s="7" t="n">
        <v>3</v>
      </c>
      <c r="Q9" s="7">
        <f>O9*P9</f>
        <v/>
      </c>
      <c r="R9" s="9">
        <f>IF(Q9="","",IF(Q9&lt;=5,"Bajo",IF(Q9&lt;=10,"Medio",IF(Q9&lt;=15,"Alto","Crítico"))))</f>
        <v/>
      </c>
      <c r="S9" s="8" t="inlineStr">
        <is>
          <t>Activo</t>
        </is>
      </c>
    </row>
    <row r="10" ht="84" customHeight="1">
      <c r="A10" s="4" t="inlineStr">
        <is>
          <t>R-09</t>
        </is>
      </c>
      <c r="B10" s="5" t="inlineStr">
        <is>
          <t>Equipo</t>
        </is>
      </c>
      <c r="C10" s="5" t="inlineStr">
        <is>
          <t>Sobrecarga académica del equipo en períodos de evaluaciones</t>
        </is>
      </c>
      <c r="D10" s="5" t="inlineStr">
        <is>
          <t>Los tres integrantes cursan otras asignaturas en paralelo al Capstone</t>
        </is>
      </c>
      <c r="E10" s="5" t="inlineStr">
        <is>
          <t>Caída de la velocidad del equipo y atraso en los hitos comprometidos</t>
        </is>
      </c>
      <c r="F10" s="4" t="n">
        <v>4</v>
      </c>
      <c r="G10" s="4" t="n">
        <v>3</v>
      </c>
      <c r="H10" s="4">
        <f>F10*G10</f>
        <v/>
      </c>
      <c r="I10" s="6">
        <f>IF(H10="","",IF(H10&lt;=5,"Bajo",IF(H10&lt;=10,"Medio",IF(H10&lt;=15,"Alto","Crítico"))))</f>
        <v/>
      </c>
      <c r="J10" s="5" t="inlineStr">
        <is>
          <t>Mitigar</t>
        </is>
      </c>
      <c r="K10" s="5" t="inlineStr">
        <is>
          <t>Carta Gantt construida considerando las semanas de evaluación de la carrera; holgura de un 20% en la planificación de cada sprint; tablero Scrum con la carga de cada integrante visible</t>
        </is>
      </c>
      <c r="L10" s="5" t="inlineStr">
        <is>
          <t>Redistribuir las historias entre los integrantes y desplazar al sprint siguiente las funcionalidades no críticas</t>
        </is>
      </c>
      <c r="M10" s="5" t="inlineStr">
        <is>
          <t>Christian Cuadra</t>
        </is>
      </c>
      <c r="N10" s="5" t="inlineStr">
        <is>
          <t>Sprint 1 - Sprint 5</t>
        </is>
      </c>
      <c r="O10" s="4" t="n">
        <v>3</v>
      </c>
      <c r="P10" s="4" t="n">
        <v>2</v>
      </c>
      <c r="Q10" s="4">
        <f>O10*P10</f>
        <v/>
      </c>
      <c r="R10" s="6">
        <f>IF(Q10="","",IF(Q10&lt;=5,"Bajo",IF(Q10&lt;=10,"Medio",IF(Q10&lt;=15,"Alto","Crítico"))))</f>
        <v/>
      </c>
      <c r="S10" s="5" t="inlineStr">
        <is>
          <t>Activo</t>
        </is>
      </c>
    </row>
    <row r="11" ht="84" customHeight="1">
      <c r="A11" s="7" t="inlineStr">
        <is>
          <t>R-10</t>
        </is>
      </c>
      <c r="B11" s="8" t="inlineStr">
        <is>
          <t>Equipo</t>
        </is>
      </c>
      <c r="C11" s="8" t="inlineStr">
        <is>
          <t>Ausencia prolongada o deserción de un integrante del equipo</t>
        </is>
      </c>
      <c r="D11" s="8" t="inlineStr">
        <is>
          <t>Enfermedad, situación personal o retiro de la carrera durante el semestre</t>
        </is>
      </c>
      <c r="E11" s="8" t="inlineStr">
        <is>
          <t>Pérdida del conocimiento del módulo a cargo y redistribución de carga sobre los demás</t>
        </is>
      </c>
      <c r="F11" s="7" t="n">
        <v>2</v>
      </c>
      <c r="G11" s="7" t="n">
        <v>5</v>
      </c>
      <c r="H11" s="7">
        <f>F11*G11</f>
        <v/>
      </c>
      <c r="I11" s="9">
        <f>IF(H11="","",IF(H11&lt;=5,"Bajo",IF(H11&lt;=10,"Medio",IF(H11&lt;=15,"Alto","Crítico"))))</f>
        <v/>
      </c>
      <c r="J11" s="8" t="inlineStr">
        <is>
          <t>Mitigar</t>
        </is>
      </c>
      <c r="K11" s="8" t="inlineStr">
        <is>
          <t>Trabajo transversal sin especialización fija; todo el código y la documentación en repositorio compartido; revisión cruzada de cada entregable por al menos otro integrante</t>
        </is>
      </c>
      <c r="L11" s="8" t="inlineStr">
        <is>
          <t>Reasignar los módulos pendientes y solicitar formalmente al docente guía un ajuste del alcance comprometido</t>
        </is>
      </c>
      <c r="M11" s="8" t="inlineStr">
        <is>
          <t>Felipe Gutiérrez</t>
        </is>
      </c>
      <c r="N11" s="8" t="inlineStr">
        <is>
          <t>Sprint 0 - Sprint 5</t>
        </is>
      </c>
      <c r="O11" s="7" t="n">
        <v>2</v>
      </c>
      <c r="P11" s="7" t="n">
        <v>3</v>
      </c>
      <c r="Q11" s="7">
        <f>O11*P11</f>
        <v/>
      </c>
      <c r="R11" s="9">
        <f>IF(Q11="","",IF(Q11&lt;=5,"Bajo",IF(Q11&lt;=10,"Medio",IF(Q11&lt;=15,"Alto","Crítico"))))</f>
        <v/>
      </c>
      <c r="S11" s="8" t="inlineStr">
        <is>
          <t>Activo</t>
        </is>
      </c>
    </row>
    <row r="12" ht="84" customHeight="1">
      <c r="A12" s="4" t="inlineStr">
        <is>
          <t>R-11</t>
        </is>
      </c>
      <c r="B12" s="5" t="inlineStr">
        <is>
          <t>Equipo</t>
        </is>
      </c>
      <c r="C12" s="5" t="inlineStr">
        <is>
          <t>Diferencias de nivel técnico entre los integrantes</t>
        </is>
      </c>
      <c r="D12" s="5" t="inlineStr">
        <is>
          <t>Experiencia previa dispar en desarrollo web, bases de datos y servicios en la nube</t>
        </is>
      </c>
      <c r="E12" s="5" t="inlineStr">
        <is>
          <t>Cuellos de botella en las tareas que solo un integrante puede resolver</t>
        </is>
      </c>
      <c r="F12" s="4" t="n">
        <v>3</v>
      </c>
      <c r="G12" s="4" t="n">
        <v>3</v>
      </c>
      <c r="H12" s="4">
        <f>F12*G12</f>
        <v/>
      </c>
      <c r="I12" s="6">
        <f>IF(H12="","",IF(H12&lt;=5,"Bajo",IF(H12&lt;=10,"Medio",IF(H12&lt;=15,"Alto","Crítico"))))</f>
        <v/>
      </c>
      <c r="J12" s="5" t="inlineStr">
        <is>
          <t>Mitigar</t>
        </is>
      </c>
      <c r="K12" s="5" t="inlineStr">
        <is>
          <t>Programación en pareja en los módulos críticos; sesiones internas de traspaso al cierre de cada sprint; documentación técnica de cada decisión en el repositorio</t>
        </is>
      </c>
      <c r="L12" s="5" t="inlineStr">
        <is>
          <t>Redistribuir la tarea bloqueada al integrante con mayor dominio y dejarla documentada como material de estudio interno</t>
        </is>
      </c>
      <c r="M12" s="5" t="inlineStr">
        <is>
          <t>Christian Cuadra</t>
        </is>
      </c>
      <c r="N12" s="5" t="inlineStr">
        <is>
          <t>Sprint 0 - Sprint 5</t>
        </is>
      </c>
      <c r="O12" s="4" t="n">
        <v>2</v>
      </c>
      <c r="P12" s="4" t="n">
        <v>2</v>
      </c>
      <c r="Q12" s="4">
        <f>O12*P12</f>
        <v/>
      </c>
      <c r="R12" s="6">
        <f>IF(Q12="","",IF(Q12&lt;=5,"Bajo",IF(Q12&lt;=10,"Medio",IF(Q12&lt;=15,"Alto","Crítico"))))</f>
        <v/>
      </c>
      <c r="S12" s="5" t="inlineStr">
        <is>
          <t>Activo</t>
        </is>
      </c>
    </row>
    <row r="13" ht="84" customHeight="1">
      <c r="A13" s="7" t="inlineStr">
        <is>
          <t>R-12</t>
        </is>
      </c>
      <c r="B13" s="8" t="inlineStr">
        <is>
          <t>Equipo</t>
        </is>
      </c>
      <c r="C13" s="8" t="inlineStr">
        <is>
          <t>Trabajo duplicado o incompatible por coordinación deficiente</t>
        </is>
      </c>
      <c r="D13" s="8" t="inlineStr">
        <is>
          <t>Falta de una rutina de sincronización y de asignación clara de tareas en el tablero</t>
        </is>
      </c>
      <c r="E13" s="8" t="inlineStr">
        <is>
          <t>Horas perdidas y conflictos al integrar el código de distintos integrantes</t>
        </is>
      </c>
      <c r="F13" s="7" t="n">
        <v>3</v>
      </c>
      <c r="G13" s="7" t="n">
        <v>3</v>
      </c>
      <c r="H13" s="7">
        <f>F13*G13</f>
        <v/>
      </c>
      <c r="I13" s="9">
        <f>IF(H13="","",IF(H13&lt;=5,"Bajo",IF(H13&lt;=10,"Medio",IF(H13&lt;=15,"Alto","Crítico"))))</f>
        <v/>
      </c>
      <c r="J13" s="8" t="inlineStr">
        <is>
          <t>Mitigar</t>
        </is>
      </c>
      <c r="K13" s="8" t="inlineStr">
        <is>
          <t>Daily breve tres veces por semana; tablero Scrum como única fuente de asignación; ramas por funcionalidad con integración frecuente al tronco principal</t>
        </is>
      </c>
      <c r="L13" s="8" t="inlineStr">
        <is>
          <t>Resolver el conflicto en una sesión conjunta de integración y definir un responsable único del módulo afectado</t>
        </is>
      </c>
      <c r="M13" s="8" t="inlineStr">
        <is>
          <t>Esteban Morales</t>
        </is>
      </c>
      <c r="N13" s="8" t="inlineStr">
        <is>
          <t>Sprint 1 - Sprint 5</t>
        </is>
      </c>
      <c r="O13" s="7" t="n">
        <v>2</v>
      </c>
      <c r="P13" s="7" t="n">
        <v>2</v>
      </c>
      <c r="Q13" s="7">
        <f>O13*P13</f>
        <v/>
      </c>
      <c r="R13" s="9">
        <f>IF(Q13="","",IF(Q13&lt;=5,"Bajo",IF(Q13&lt;=10,"Medio",IF(Q13&lt;=15,"Alto","Crítico"))))</f>
        <v/>
      </c>
      <c r="S13" s="8" t="inlineStr">
        <is>
          <t>Activo</t>
        </is>
      </c>
    </row>
    <row r="14" ht="84" customHeight="1">
      <c r="A14" s="4" t="inlineStr">
        <is>
          <t>R-13</t>
        </is>
      </c>
      <c r="B14" s="5" t="inlineStr">
        <is>
          <t>Equipo</t>
        </is>
      </c>
      <c r="C14" s="5" t="inlineStr">
        <is>
          <t>Desbalance en la carga de trabajo entre los integrantes</t>
        </is>
      </c>
      <c r="D14" s="5" t="inlineStr">
        <is>
          <t>Asignación informal de tareas sin medir el esfuerzo real de cada historia</t>
        </is>
      </c>
      <c r="E14" s="5" t="inlineStr">
        <is>
          <t>Desgaste de uno de los integrantes y tensión dentro del equipo</t>
        </is>
      </c>
      <c r="F14" s="4" t="n">
        <v>2</v>
      </c>
      <c r="G14" s="4" t="n">
        <v>3</v>
      </c>
      <c r="H14" s="4">
        <f>F14*G14</f>
        <v/>
      </c>
      <c r="I14" s="6">
        <f>IF(H14="","",IF(H14&lt;=5,"Bajo",IF(H14&lt;=10,"Medio",IF(H14&lt;=15,"Alto","Crítico"))))</f>
        <v/>
      </c>
      <c r="J14" s="5" t="inlineStr">
        <is>
          <t>Mitigar</t>
        </is>
      </c>
      <c r="K14" s="5" t="inlineStr">
        <is>
          <t>Estimación en puntos de historia visible para los tres; revisión de la distribución de carga en cada retrospectiva; rotación de los módulos menos atractivos</t>
        </is>
      </c>
      <c r="L14" s="5" t="inlineStr">
        <is>
          <t>Redistribuir el sprint en curso y declarar el ajuste en la retrospectiva</t>
        </is>
      </c>
      <c r="M14" s="5" t="inlineStr">
        <is>
          <t>Felipe Gutiérrez</t>
        </is>
      </c>
      <c r="N14" s="5" t="inlineStr">
        <is>
          <t>Sprint 1 - Sprint 5</t>
        </is>
      </c>
      <c r="O14" s="4" t="n">
        <v>1</v>
      </c>
      <c r="P14" s="4" t="n">
        <v>2</v>
      </c>
      <c r="Q14" s="4">
        <f>O14*P14</f>
        <v/>
      </c>
      <c r="R14" s="6">
        <f>IF(Q14="","",IF(Q14&lt;=5,"Bajo",IF(Q14&lt;=10,"Medio",IF(Q14&lt;=15,"Alto","Crítico"))))</f>
        <v/>
      </c>
      <c r="S14" s="5" t="inlineStr">
        <is>
          <t>Activo</t>
        </is>
      </c>
    </row>
    <row r="15" ht="84" customHeight="1">
      <c r="A15" s="7" t="inlineStr">
        <is>
          <t>R-14</t>
        </is>
      </c>
      <c r="B15" s="8" t="inlineStr">
        <is>
          <t>Planificación</t>
        </is>
      </c>
      <c r="C15" s="8" t="inlineStr">
        <is>
          <t>Estimaciones de sprint demasiado optimistas</t>
        </is>
      </c>
      <c r="D15" s="8" t="inlineStr">
        <is>
          <t>El equipo no cuenta con un histórico de velocidad sobre el cual calibrar</t>
        </is>
      </c>
      <c r="E15" s="8" t="inlineStr">
        <is>
          <t>Hitos incumplidos y acumulación de trabajo pendiente hacia los últimos sprints</t>
        </is>
      </c>
      <c r="F15" s="7" t="n">
        <v>4</v>
      </c>
      <c r="G15" s="7" t="n">
        <v>4</v>
      </c>
      <c r="H15" s="7">
        <f>F15*G15</f>
        <v/>
      </c>
      <c r="I15" s="9">
        <f>IF(H15="","",IF(H15&lt;=5,"Bajo",IF(H15&lt;=10,"Medio",IF(H15&lt;=15,"Alto","Crítico"))))</f>
        <v/>
      </c>
      <c r="J15" s="8" t="inlineStr">
        <is>
          <t>Mitigar</t>
        </is>
      </c>
      <c r="K15" s="8" t="inlineStr">
        <is>
          <t>Estimación en puntos de historia con recalibración tras cada sprint; definición de terminado acordada por el equipo; revisión de avance semanal contra la Carta Gantt</t>
        </is>
      </c>
      <c r="L15" s="8" t="inlineStr">
        <is>
          <t>Repriorizar el Product Backlog y declarar formalmente ante el docente guía qué queda fuera del alcance</t>
        </is>
      </c>
      <c r="M15" s="8" t="inlineStr">
        <is>
          <t>Felipe Gutiérrez</t>
        </is>
      </c>
      <c r="N15" s="8" t="inlineStr">
        <is>
          <t>Sprint 0 - Sprint 5</t>
        </is>
      </c>
      <c r="O15" s="7" t="n">
        <v>2</v>
      </c>
      <c r="P15" s="7" t="n">
        <v>4</v>
      </c>
      <c r="Q15" s="7">
        <f>O15*P15</f>
        <v/>
      </c>
      <c r="R15" s="9">
        <f>IF(Q15="","",IF(Q15&lt;=5,"Bajo",IF(Q15&lt;=10,"Medio",IF(Q15&lt;=15,"Alto","Crítico"))))</f>
        <v/>
      </c>
      <c r="S15" s="8" t="inlineStr">
        <is>
          <t>Activo</t>
        </is>
      </c>
    </row>
    <row r="16" ht="84" customHeight="1">
      <c r="A16" s="4" t="inlineStr">
        <is>
          <t>R-15</t>
        </is>
      </c>
      <c r="B16" s="5" t="inlineStr">
        <is>
          <t>Planificación</t>
        </is>
      </c>
      <c r="C16" s="5" t="inlineStr">
        <is>
          <t>Dependencias entre módulos mal secuenciadas</t>
        </is>
      </c>
      <c r="D16" s="5" t="inlineStr">
        <is>
          <t>El portal de clientes depende de datos que produce el módulo de gestión comercial</t>
        </is>
      </c>
      <c r="E16" s="5" t="inlineStr">
        <is>
          <t>Un módulo queda bloqueado esperando a otro y se pierde un sprint completo</t>
        </is>
      </c>
      <c r="F16" s="4" t="n">
        <v>3</v>
      </c>
      <c r="G16" s="4" t="n">
        <v>4</v>
      </c>
      <c r="H16" s="4">
        <f>F16*G16</f>
        <v/>
      </c>
      <c r="I16" s="6">
        <f>IF(H16="","",IF(H16&lt;=5,"Bajo",IF(H16&lt;=10,"Medio",IF(H16&lt;=15,"Alto","Crítico"))))</f>
        <v/>
      </c>
      <c r="J16" s="5" t="inlineStr">
        <is>
          <t>Mitigar</t>
        </is>
      </c>
      <c r="K16" s="5" t="inlineStr">
        <is>
          <t>Mapa de dependencias construido en el Sprint 0; contratos de API definidos antes de desarrollar los módulos dependientes; uso de datos simulados para avanzar en paralelo</t>
        </is>
      </c>
      <c r="L16" s="5" t="inlineStr">
        <is>
          <t>Desarrollar contra datos simulados mientras se completa el módulo del que se depende</t>
        </is>
      </c>
      <c r="M16" s="5" t="inlineStr">
        <is>
          <t>Christian Cuadra</t>
        </is>
      </c>
      <c r="N16" s="5" t="inlineStr">
        <is>
          <t>Sprint 0 - Sprint 3</t>
        </is>
      </c>
      <c r="O16" s="4" t="n">
        <v>2</v>
      </c>
      <c r="P16" s="4" t="n">
        <v>3</v>
      </c>
      <c r="Q16" s="4">
        <f>O16*P16</f>
        <v/>
      </c>
      <c r="R16" s="6">
        <f>IF(Q16="","",IF(Q16&lt;=5,"Bajo",IF(Q16&lt;=10,"Medio",IF(Q16&lt;=15,"Alto","Crítico"))))</f>
        <v/>
      </c>
      <c r="S16" s="5" t="inlineStr">
        <is>
          <t>Activo</t>
        </is>
      </c>
    </row>
    <row r="17" ht="84" customHeight="1">
      <c r="A17" s="7" t="inlineStr">
        <is>
          <t>R-16</t>
        </is>
      </c>
      <c r="B17" s="8" t="inlineStr">
        <is>
          <t>Planificación</t>
        </is>
      </c>
      <c r="C17" s="8" t="inlineStr">
        <is>
          <t>Tiempo insuficiente para la Fase 3 al cierre del semestre</t>
        </is>
      </c>
      <c r="D17" s="8" t="inlineStr">
        <is>
          <t>Las funcionalidades de métricas e IA quedan planificadas en los últimos sprints</t>
        </is>
      </c>
      <c r="E17" s="8" t="inlineStr">
        <is>
          <t>Entrega final con la fase más diferenciadora incompleta o sin probar</t>
        </is>
      </c>
      <c r="F17" s="7" t="n">
        <v>4</v>
      </c>
      <c r="G17" s="7" t="n">
        <v>4</v>
      </c>
      <c r="H17" s="7">
        <f>F17*G17</f>
        <v/>
      </c>
      <c r="I17" s="9">
        <f>IF(H17="","",IF(H17&lt;=5,"Bajo",IF(H17&lt;=10,"Medio",IF(H17&lt;=15,"Alto","Crítico"))))</f>
        <v/>
      </c>
      <c r="J17" s="8" t="inlineStr">
        <is>
          <t>Mitigar</t>
        </is>
      </c>
      <c r="K17" s="8" t="inlineStr">
        <is>
          <t>Adelantar un prototipo funcional de una función de IA al Sprint 2 como prueba de concepto; priorizar dentro de la Fase 3 las funcionalidades comprometidas en los objetivos específicos</t>
        </is>
      </c>
      <c r="L17" s="8" t="inlineStr">
        <is>
          <t>Entregar una de las tres funciones de IA completamente operativa y las restantes documentadas como trabajo futuro</t>
        </is>
      </c>
      <c r="M17" s="8" t="inlineStr">
        <is>
          <t>Felipe Gutiérrez</t>
        </is>
      </c>
      <c r="N17" s="8" t="inlineStr">
        <is>
          <t>Sprint 4 - Sprint 5</t>
        </is>
      </c>
      <c r="O17" s="7" t="n">
        <v>2</v>
      </c>
      <c r="P17" s="7" t="n">
        <v>4</v>
      </c>
      <c r="Q17" s="7">
        <f>O17*P17</f>
        <v/>
      </c>
      <c r="R17" s="9">
        <f>IF(Q17="","",IF(Q17&lt;=5,"Bajo",IF(Q17&lt;=10,"Medio",IF(Q17&lt;=15,"Alto","Crítico"))))</f>
        <v/>
      </c>
      <c r="S17" s="8" t="inlineStr">
        <is>
          <t>Activo</t>
        </is>
      </c>
    </row>
    <row r="18" ht="84" customHeight="1">
      <c r="A18" s="4" t="inlineStr">
        <is>
          <t>R-17</t>
        </is>
      </c>
      <c r="B18" s="5" t="inlineStr">
        <is>
          <t>Planificación</t>
        </is>
      </c>
      <c r="C18" s="5" t="inlineStr">
        <is>
          <t>Cambio en el calendario académico o adelanto de las fechas de entrega</t>
        </is>
      </c>
      <c r="D18" s="5" t="inlineStr">
        <is>
          <t>Ajustes de la carrera o del docente guía posteriores a la planificación inicial</t>
        </is>
      </c>
      <c r="E18" s="5" t="inlineStr">
        <is>
          <t>Compresión del plan de trabajo y sprints recortados</t>
        </is>
      </c>
      <c r="F18" s="4" t="n">
        <v>2</v>
      </c>
      <c r="G18" s="4" t="n">
        <v>4</v>
      </c>
      <c r="H18" s="4">
        <f>F18*G18</f>
        <v/>
      </c>
      <c r="I18" s="6">
        <f>IF(H18="","",IF(H18&lt;=5,"Bajo",IF(H18&lt;=10,"Medio",IF(H18&lt;=15,"Alto","Crítico"))))</f>
        <v/>
      </c>
      <c r="J18" s="5" t="inlineStr">
        <is>
          <t>Aceptar</t>
        </is>
      </c>
      <c r="K18" s="5" t="inlineStr">
        <is>
          <t>Revisión del calendario oficial al inicio de cada sprint; mantener siempre una versión desplegada y demostrable del sistema</t>
        </is>
      </c>
      <c r="L18" s="5" t="inlineStr">
        <is>
          <t>Recortar el sprint en curso al conjunto mínimo demostrable y priorizar los entregables exigidos por la rúbrica</t>
        </is>
      </c>
      <c r="M18" s="5" t="inlineStr">
        <is>
          <t>Esteban Morales</t>
        </is>
      </c>
      <c r="N18" s="5" t="inlineStr">
        <is>
          <t>Sprint 0 - Sprint 5</t>
        </is>
      </c>
      <c r="O18" s="4" t="n">
        <v>2</v>
      </c>
      <c r="P18" s="4" t="n">
        <v>3</v>
      </c>
      <c r="Q18" s="4">
        <f>O18*P18</f>
        <v/>
      </c>
      <c r="R18" s="6">
        <f>IF(Q18="","",IF(Q18&lt;=5,"Bajo",IF(Q18&lt;=10,"Medio",IF(Q18&lt;=15,"Alto","Crítico"))))</f>
        <v/>
      </c>
      <c r="S18" s="5" t="inlineStr">
        <is>
          <t>Activo</t>
        </is>
      </c>
    </row>
    <row r="19" ht="84" customHeight="1">
      <c r="A19" s="7" t="inlineStr">
        <is>
          <t>R-18</t>
        </is>
      </c>
      <c r="B19" s="8" t="inlineStr">
        <is>
          <t>Técnico</t>
        </is>
      </c>
      <c r="C19" s="8" t="inlineStr">
        <is>
          <t>Curva de aprendizaje del stack de Google Cloud</t>
        </is>
      </c>
      <c r="D19" s="8" t="inlineStr">
        <is>
          <t>El equipo no ha trabajado antes con Cloud Run, Cloud SQL y Firebase en un ambiente desplegado</t>
        </is>
      </c>
      <c r="E19" s="8" t="inlineStr">
        <is>
          <t>Configuraciones erróneas y tiempo consumido en despliegue en lugar de desarrollo</t>
        </is>
      </c>
      <c r="F19" s="7" t="n">
        <v>4</v>
      </c>
      <c r="G19" s="7" t="n">
        <v>3</v>
      </c>
      <c r="H19" s="7">
        <f>F19*G19</f>
        <v/>
      </c>
      <c r="I19" s="9">
        <f>IF(H19="","",IF(H19&lt;=5,"Bajo",IF(H19&lt;=10,"Medio",IF(H19&lt;=15,"Alto","Crítico"))))</f>
        <v/>
      </c>
      <c r="J19" s="8" t="inlineStr">
        <is>
          <t>Mitigar</t>
        </is>
      </c>
      <c r="K19" s="8" t="inlineStr">
        <is>
          <t>Spike técnico en el Sprint 0 con un despliegue end-to-end mínimo; uso de servicios administrados por sobre configuración manual; runbook de despliegue documentado paso a paso</t>
        </is>
      </c>
      <c r="L19" s="8" t="inlineStr">
        <is>
          <t>Simplificar la arquitectura desplegando el backend como un único servicio en Cloud Run y postergar las optimizaciones</t>
        </is>
      </c>
      <c r="M19" s="8" t="inlineStr">
        <is>
          <t>Christian Cuadra</t>
        </is>
      </c>
      <c r="N19" s="8" t="inlineStr">
        <is>
          <t>Sprint 0 - Sprint 1</t>
        </is>
      </c>
      <c r="O19" s="7" t="n">
        <v>2</v>
      </c>
      <c r="P19" s="7" t="n">
        <v>3</v>
      </c>
      <c r="Q19" s="7">
        <f>O19*P19</f>
        <v/>
      </c>
      <c r="R19" s="9">
        <f>IF(Q19="","",IF(Q19&lt;=5,"Bajo",IF(Q19&lt;=10,"Medio",IF(Q19&lt;=15,"Alto","Crítico"))))</f>
        <v/>
      </c>
      <c r="S19" s="8" t="inlineStr">
        <is>
          <t>Activo</t>
        </is>
      </c>
    </row>
    <row r="20" ht="84" customHeight="1">
      <c r="A20" s="4" t="inlineStr">
        <is>
          <t>R-19</t>
        </is>
      </c>
      <c r="B20" s="5" t="inlineStr">
        <is>
          <t>Técnico</t>
        </is>
      </c>
      <c r="C20" s="5" t="inlineStr">
        <is>
          <t>Errores en el modelo de datos detectados en etapas avanzadas</t>
        </is>
      </c>
      <c r="D20" s="5" t="inlineStr">
        <is>
          <t>Modelo definido antes de comprender completamente el proceso comercial de la agencia</t>
        </is>
      </c>
      <c r="E20" s="5" t="inlineStr">
        <is>
          <t>Migraciones de esquema costosas y retrabajo en los módulos ya construidos</t>
        </is>
      </c>
      <c r="F20" s="4" t="n">
        <v>3</v>
      </c>
      <c r="G20" s="4" t="n">
        <v>4</v>
      </c>
      <c r="H20" s="4">
        <f>F20*G20</f>
        <v/>
      </c>
      <c r="I20" s="6">
        <f>IF(H20="","",IF(H20&lt;=5,"Bajo",IF(H20&lt;=10,"Medio",IF(H20&lt;=15,"Alto","Crítico"))))</f>
        <v/>
      </c>
      <c r="J20" s="5" t="inlineStr">
        <is>
          <t>Mitigar</t>
        </is>
      </c>
      <c r="K20" s="5" t="inlineStr">
        <is>
          <t>Validación del modelo entidad-relación con la agencia antes del Sprint 1; uso de migraciones versionadas desde el inicio; revisión del modelo en la retrospectiva de cada sprint</t>
        </is>
      </c>
      <c r="L20" s="5" t="inlineStr">
        <is>
          <t>Aplicar una migración controlada con respaldo previo y ajustar los módulos afectados como deuda técnica priorizada</t>
        </is>
      </c>
      <c r="M20" s="5" t="inlineStr">
        <is>
          <t>Felipe Gutiérrez</t>
        </is>
      </c>
      <c r="N20" s="5" t="inlineStr">
        <is>
          <t>Sprint 1 - Sprint 3</t>
        </is>
      </c>
      <c r="O20" s="4" t="n">
        <v>2</v>
      </c>
      <c r="P20" s="4" t="n">
        <v>3</v>
      </c>
      <c r="Q20" s="4">
        <f>O20*P20</f>
        <v/>
      </c>
      <c r="R20" s="6">
        <f>IF(Q20="","",IF(Q20&lt;=5,"Bajo",IF(Q20&lt;=10,"Medio",IF(Q20&lt;=15,"Alto","Crítico"))))</f>
        <v/>
      </c>
      <c r="S20" s="5" t="inlineStr">
        <is>
          <t>Activo</t>
        </is>
      </c>
    </row>
    <row r="21" ht="84" customHeight="1">
      <c r="A21" s="7" t="inlineStr">
        <is>
          <t>R-20</t>
        </is>
      </c>
      <c r="B21" s="8" t="inlineStr">
        <is>
          <t>Técnico</t>
        </is>
      </c>
      <c r="C21" s="8" t="inlineStr">
        <is>
          <t>Acumulación de deuda técnica por soluciones rápidas</t>
        </is>
      </c>
      <c r="D21" s="8" t="inlineStr">
        <is>
          <t>Presión por cerrar el sprint lleva a implementaciones provisorias que nunca se corrigen</t>
        </is>
      </c>
      <c r="E21" s="8" t="inlineStr">
        <is>
          <t>Código difícil de mantener y defectos crecientes en los sprints finales</t>
        </is>
      </c>
      <c r="F21" s="7" t="n">
        <v>4</v>
      </c>
      <c r="G21" s="7" t="n">
        <v>3</v>
      </c>
      <c r="H21" s="7">
        <f>F21*G21</f>
        <v/>
      </c>
      <c r="I21" s="9">
        <f>IF(H21="","",IF(H21&lt;=5,"Bajo",IF(H21&lt;=10,"Medio",IF(H21&lt;=15,"Alto","Crítico"))))</f>
        <v/>
      </c>
      <c r="J21" s="8" t="inlineStr">
        <is>
          <t>Mitigar</t>
        </is>
      </c>
      <c r="K21" s="8" t="inlineStr">
        <is>
          <t>Registro explícito de la deuda técnica en el backlog; reserva de un 10% de cada sprint para saldarla; revisión de código obligatoria antes de integrar al tronco principal</t>
        </is>
      </c>
      <c r="L21" s="8" t="inlineStr">
        <is>
          <t>Destinar el inicio del Sprint 5 a saldar la deuda que afecte a los módulos evaluados en la entrega final</t>
        </is>
      </c>
      <c r="M21" s="8" t="inlineStr">
        <is>
          <t>Christian Cuadra</t>
        </is>
      </c>
      <c r="N21" s="8" t="inlineStr">
        <is>
          <t>Sprint 1 - Sprint 5</t>
        </is>
      </c>
      <c r="O21" s="7" t="n">
        <v>2</v>
      </c>
      <c r="P21" s="7" t="n">
        <v>3</v>
      </c>
      <c r="Q21" s="7">
        <f>O21*P21</f>
        <v/>
      </c>
      <c r="R21" s="9">
        <f>IF(Q21="","",IF(Q21&lt;=5,"Bajo",IF(Q21&lt;=10,"Medio",IF(Q21&lt;=15,"Alto","Crítico"))))</f>
        <v/>
      </c>
      <c r="S21" s="8" t="inlineStr">
        <is>
          <t>Activo</t>
        </is>
      </c>
    </row>
    <row r="22" ht="84" customHeight="1">
      <c r="A22" s="4" t="inlineStr">
        <is>
          <t>R-21</t>
        </is>
      </c>
      <c r="B22" s="5" t="inlineStr">
        <is>
          <t>Técnico</t>
        </is>
      </c>
      <c r="C22" s="5" t="inlineStr">
        <is>
          <t>Defectos de integración entre el frontend y la API al unir módulos</t>
        </is>
      </c>
      <c r="D22" s="5" t="inlineStr">
        <is>
          <t>Módulos desarrollados en paralelo con supuestos distintos sobre el contrato de datos</t>
        </is>
      </c>
      <c r="E22" s="5" t="inlineStr">
        <is>
          <t>Funcionalidades que no operan al integrarse, detectadas al final del sprint</t>
        </is>
      </c>
      <c r="F22" s="4" t="n">
        <v>4</v>
      </c>
      <c r="G22" s="4" t="n">
        <v>3</v>
      </c>
      <c r="H22" s="4">
        <f>F22*G22</f>
        <v/>
      </c>
      <c r="I22" s="6">
        <f>IF(H22="","",IF(H22&lt;=5,"Bajo",IF(H22&lt;=10,"Medio",IF(H22&lt;=15,"Alto","Crítico"))))</f>
        <v/>
      </c>
      <c r="J22" s="5" t="inlineStr">
        <is>
          <t>Mitigar</t>
        </is>
      </c>
      <c r="K22" s="5" t="inlineStr">
        <is>
          <t>Contrato de API documentado y acordado antes de desarrollar; integración continua con pruebas automáticas de los endpoints principales; integración temprana y frecuente en lugar de al cierre</t>
        </is>
      </c>
      <c r="L22" s="5" t="inlineStr">
        <is>
          <t>Sesión de integración conjunta del equipo y corrección del contrato como prioridad máxima del sprint</t>
        </is>
      </c>
      <c r="M22" s="5" t="inlineStr">
        <is>
          <t>Esteban Morales</t>
        </is>
      </c>
      <c r="N22" s="5" t="inlineStr">
        <is>
          <t>Sprint 1 - Sprint 5</t>
        </is>
      </c>
      <c r="O22" s="4" t="n">
        <v>2</v>
      </c>
      <c r="P22" s="4" t="n">
        <v>2</v>
      </c>
      <c r="Q22" s="4">
        <f>O22*P22</f>
        <v/>
      </c>
      <c r="R22" s="6">
        <f>IF(Q22="","",IF(Q22&lt;=5,"Bajo",IF(Q22&lt;=10,"Medio",IF(Q22&lt;=15,"Alto","Crítico"))))</f>
        <v/>
      </c>
      <c r="S22" s="5" t="inlineStr">
        <is>
          <t>Activo</t>
        </is>
      </c>
    </row>
    <row r="23" ht="84" customHeight="1">
      <c r="A23" s="7" t="inlineStr">
        <is>
          <t>R-22</t>
        </is>
      </c>
      <c r="B23" s="8" t="inlineStr">
        <is>
          <t>Técnico</t>
        </is>
      </c>
      <c r="C23" s="8" t="inlineStr">
        <is>
          <t>Rendimiento deficiente del dashboard de métricas con volúmenes reales</t>
        </is>
      </c>
      <c r="D23" s="8" t="inlineStr">
        <is>
          <t>Consultas sin optimizar y cálculo de métricas en tiempo real sobre históricos extensos</t>
        </is>
      </c>
      <c r="E23" s="8" t="inlineStr">
        <is>
          <t>Tiempos de carga inaceptables para el cliente y mala impresión en la demostración</t>
        </is>
      </c>
      <c r="F23" s="7" t="n">
        <v>3</v>
      </c>
      <c r="G23" s="7" t="n">
        <v>3</v>
      </c>
      <c r="H23" s="7">
        <f>F23*G23</f>
        <v/>
      </c>
      <c r="I23" s="9">
        <f>IF(H23="","",IF(H23&lt;=5,"Bajo",IF(H23&lt;=10,"Medio",IF(H23&lt;=15,"Alto","Crítico"))))</f>
        <v/>
      </c>
      <c r="J23" s="8" t="inlineStr">
        <is>
          <t>Mitigar</t>
        </is>
      </c>
      <c r="K23" s="8" t="inlineStr">
        <is>
          <t>Índices definidos sobre las columnas de filtro; agregaciones precalculadas y almacenadas; pruebas de carga con datos de volumen realista antes del Sprint 5</t>
        </is>
      </c>
      <c r="L23" s="8" t="inlineStr">
        <is>
          <t>Reducir el rango de fechas consultable por defecto y cargar el detalle bajo demanda</t>
        </is>
      </c>
      <c r="M23" s="8" t="inlineStr">
        <is>
          <t>Christian Cuadra</t>
        </is>
      </c>
      <c r="N23" s="8" t="inlineStr">
        <is>
          <t>Sprint 4 - Sprint 5</t>
        </is>
      </c>
      <c r="O23" s="7" t="n">
        <v>2</v>
      </c>
      <c r="P23" s="7" t="n">
        <v>2</v>
      </c>
      <c r="Q23" s="7">
        <f>O23*P23</f>
        <v/>
      </c>
      <c r="R23" s="9">
        <f>IF(Q23="","",IF(Q23&lt;=5,"Bajo",IF(Q23&lt;=10,"Medio",IF(Q23&lt;=15,"Alto","Crítico"))))</f>
        <v/>
      </c>
      <c r="S23" s="8" t="inlineStr">
        <is>
          <t>Activo</t>
        </is>
      </c>
    </row>
    <row r="24" ht="84" customHeight="1">
      <c r="A24" s="4" t="inlineStr">
        <is>
          <t>R-23</t>
        </is>
      </c>
      <c r="B24" s="5" t="inlineStr">
        <is>
          <t>Técnico</t>
        </is>
      </c>
      <c r="C24" s="5" t="inlineStr">
        <is>
          <t>Cambio disruptivo o incompatibilidad en versiones de librerías y frameworks</t>
        </is>
      </c>
      <c r="D24" s="5" t="inlineStr">
        <is>
          <t>Dependencias sin versión fijada que se actualizan automáticamente</t>
        </is>
      </c>
      <c r="E24" s="5" t="inlineStr">
        <is>
          <t>El proyecto deja de compilar o de desplegar sin que nadie haya cambiado el código</t>
        </is>
      </c>
      <c r="F24" s="4" t="n">
        <v>2</v>
      </c>
      <c r="G24" s="4" t="n">
        <v>3</v>
      </c>
      <c r="H24" s="4">
        <f>F24*G24</f>
        <v/>
      </c>
      <c r="I24" s="6">
        <f>IF(H24="","",IF(H24&lt;=5,"Bajo",IF(H24&lt;=10,"Medio",IF(H24&lt;=15,"Alto","Crítico"))))</f>
        <v/>
      </c>
      <c r="J24" s="5" t="inlineStr">
        <is>
          <t>Evitar</t>
        </is>
      </c>
      <c r="K24" s="5" t="inlineStr">
        <is>
          <t>Versiones fijadas en el archivo de dependencias; archivo de bloqueo versionado en el repositorio; actualizaciones solo de forma deliberada y probada</t>
        </is>
      </c>
      <c r="L24" s="5" t="inlineStr">
        <is>
          <t>Revertir a la versión anterior registrada en el repositorio y programar la actualización como tarea planificada</t>
        </is>
      </c>
      <c r="M24" s="5" t="inlineStr">
        <is>
          <t>Esteban Morales</t>
        </is>
      </c>
      <c r="N24" s="5" t="inlineStr">
        <is>
          <t>Sprint 0 - Sprint 5</t>
        </is>
      </c>
      <c r="O24" s="4" t="n">
        <v>1</v>
      </c>
      <c r="P24" s="4" t="n">
        <v>3</v>
      </c>
      <c r="Q24" s="4">
        <f>O24*P24</f>
        <v/>
      </c>
      <c r="R24" s="6">
        <f>IF(Q24="","",IF(Q24&lt;=5,"Bajo",IF(Q24&lt;=10,"Medio",IF(Q24&lt;=15,"Alto","Crítico"))))</f>
        <v/>
      </c>
      <c r="S24" s="5" t="inlineStr">
        <is>
          <t>Activo</t>
        </is>
      </c>
    </row>
    <row r="25" ht="84" customHeight="1">
      <c r="A25" s="7" t="inlineStr">
        <is>
          <t>R-24</t>
        </is>
      </c>
      <c r="B25" s="8" t="inlineStr">
        <is>
          <t>Técnico</t>
        </is>
      </c>
      <c r="C25" s="8" t="inlineStr">
        <is>
          <t>Comportamiento deficiente de la plataforma en dispositivos móviles</t>
        </is>
      </c>
      <c r="D25" s="8" t="inlineStr">
        <is>
          <t>Desarrollo y pruebas realizadas principalmente en pantallas de escritorio</t>
        </is>
      </c>
      <c r="E25" s="8" t="inlineStr">
        <is>
          <t>La agencia y sus clientes, que trabajan desde el teléfono, no pueden operar el sistema</t>
        </is>
      </c>
      <c r="F25" s="7" t="n">
        <v>3</v>
      </c>
      <c r="G25" s="7" t="n">
        <v>3</v>
      </c>
      <c r="H25" s="7">
        <f>F25*G25</f>
        <v/>
      </c>
      <c r="I25" s="9">
        <f>IF(H25="","",IF(H25&lt;=5,"Bajo",IF(H25&lt;=10,"Medio",IF(H25&lt;=15,"Alto","Crítico"))))</f>
        <v/>
      </c>
      <c r="J25" s="8" t="inlineStr">
        <is>
          <t>Mitigar</t>
        </is>
      </c>
      <c r="K25" s="8" t="inlineStr">
        <is>
          <t>Diseño con enfoque responsivo desde la primera maqueta; prueba en al menos tres tamaños de pantalla como criterio de aceptación de cada historia</t>
        </is>
      </c>
      <c r="L25" s="8" t="inlineStr">
        <is>
          <t>Priorizar la corrección de las vistas de uso más frecuente (aprobación de contenido y calendario) antes de la entrega</t>
        </is>
      </c>
      <c r="M25" s="8" t="inlineStr">
        <is>
          <t>Esteban Morales</t>
        </is>
      </c>
      <c r="N25" s="8" t="inlineStr">
        <is>
          <t>Sprint 1 - Sprint 5</t>
        </is>
      </c>
      <c r="O25" s="7" t="n">
        <v>2</v>
      </c>
      <c r="P25" s="7" t="n">
        <v>2</v>
      </c>
      <c r="Q25" s="7">
        <f>O25*P25</f>
        <v/>
      </c>
      <c r="R25" s="9">
        <f>IF(Q25="","",IF(Q25&lt;=5,"Bajo",IF(Q25&lt;=10,"Medio",IF(Q25&lt;=15,"Alto","Crítico"))))</f>
        <v/>
      </c>
      <c r="S25" s="8" t="inlineStr">
        <is>
          <t>Activo</t>
        </is>
      </c>
    </row>
    <row r="26" ht="84" customHeight="1">
      <c r="A26" s="4" t="inlineStr">
        <is>
          <t>R-25</t>
        </is>
      </c>
      <c r="B26" s="5" t="inlineStr">
        <is>
          <t>Técnico</t>
        </is>
      </c>
      <c r="C26" s="5" t="inlineStr">
        <is>
          <t>Pérdida de sesión o expiración de token durante el trabajo del usuario</t>
        </is>
      </c>
      <c r="D26" s="5" t="inlineStr">
        <is>
          <t>Configuración agresiva de expiración de sesión sin renovación automática</t>
        </is>
      </c>
      <c r="E26" s="5" t="inlineStr">
        <is>
          <t>El usuario pierde el trabajo no guardado y desconfía de la plataforma</t>
        </is>
      </c>
      <c r="F26" s="4" t="n">
        <v>3</v>
      </c>
      <c r="G26" s="4" t="n">
        <v>2</v>
      </c>
      <c r="H26" s="4">
        <f>F26*G26</f>
        <v/>
      </c>
      <c r="I26" s="6">
        <f>IF(H26="","",IF(H26&lt;=5,"Bajo",IF(H26&lt;=10,"Medio",IF(H26&lt;=15,"Alto","Crítico"))))</f>
        <v/>
      </c>
      <c r="J26" s="5" t="inlineStr">
        <is>
          <t>Mitigar</t>
        </is>
      </c>
      <c r="K26" s="5" t="inlineStr">
        <is>
          <t>Renovación automática del token mientras haya actividad; aviso previo antes de expirar; guardado automático de borradores en los formularios extensos</t>
        </is>
      </c>
      <c r="L26" s="5" t="inlineStr">
        <is>
          <t>Recuperar el borrador almacenado localmente al volver a iniciar sesión</t>
        </is>
      </c>
      <c r="M26" s="5" t="inlineStr">
        <is>
          <t>Christian Cuadra</t>
        </is>
      </c>
      <c r="N26" s="5" t="inlineStr">
        <is>
          <t>Sprint 2 - Sprint 3</t>
        </is>
      </c>
      <c r="O26" s="4" t="n">
        <v>1</v>
      </c>
      <c r="P26" s="4" t="n">
        <v>2</v>
      </c>
      <c r="Q26" s="4">
        <f>O26*P26</f>
        <v/>
      </c>
      <c r="R26" s="6">
        <f>IF(Q26="","",IF(Q26&lt;=5,"Bajo",IF(Q26&lt;=10,"Medio",IF(Q26&lt;=15,"Alto","Crítico"))))</f>
        <v/>
      </c>
      <c r="S26" s="5" t="inlineStr">
        <is>
          <t>Activo</t>
        </is>
      </c>
    </row>
    <row r="27" ht="84" customHeight="1">
      <c r="A27" s="7" t="inlineStr">
        <is>
          <t>R-26</t>
        </is>
      </c>
      <c r="B27" s="8" t="inlineStr">
        <is>
          <t>Técnico</t>
        </is>
      </c>
      <c r="C27" s="8" t="inlineStr">
        <is>
          <t>Gestión incorrecta de la zona horaria en el calendario editorial</t>
        </is>
      </c>
      <c r="D27" s="8" t="inlineStr">
        <is>
          <t>Fechas almacenadas sin un criterio único de zona horaria entre el servidor y el cliente</t>
        </is>
      </c>
      <c r="E27" s="8" t="inlineStr">
        <is>
          <t>Publicaciones programadas que aparecen en el día equivocado para el cliente</t>
        </is>
      </c>
      <c r="F27" s="7" t="n">
        <v>3</v>
      </c>
      <c r="G27" s="7" t="n">
        <v>3</v>
      </c>
      <c r="H27" s="7">
        <f>F27*G27</f>
        <v/>
      </c>
      <c r="I27" s="9">
        <f>IF(H27="","",IF(H27&lt;=5,"Bajo",IF(H27&lt;=10,"Medio",IF(H27&lt;=15,"Alto","Crítico"))))</f>
        <v/>
      </c>
      <c r="J27" s="8" t="inlineStr">
        <is>
          <t>Evitar</t>
        </is>
      </c>
      <c r="K27" s="8" t="inlineStr">
        <is>
          <t>Almacenamiento de todas las fechas en UTC y conversión a la zona horaria de Chile solo en la presentación; casos de prueba que incluyan el cambio de horario de verano</t>
        </is>
      </c>
      <c r="L27" s="8" t="inlineStr">
        <is>
          <t>Corregir los registros afectados mediante un script de normalización y notificar a los clientes involucrados</t>
        </is>
      </c>
      <c r="M27" s="8" t="inlineStr">
        <is>
          <t>Felipe Gutiérrez</t>
        </is>
      </c>
      <c r="N27" s="8" t="inlineStr">
        <is>
          <t>Sprint 3</t>
        </is>
      </c>
      <c r="O27" s="7" t="n">
        <v>1</v>
      </c>
      <c r="P27" s="7" t="n">
        <v>3</v>
      </c>
      <c r="Q27" s="7">
        <f>O27*P27</f>
        <v/>
      </c>
      <c r="R27" s="9">
        <f>IF(Q27="","",IF(Q27&lt;=5,"Bajo",IF(Q27&lt;=10,"Medio",IF(Q27&lt;=15,"Alto","Crítico"))))</f>
        <v/>
      </c>
      <c r="S27" s="8" t="inlineStr">
        <is>
          <t>Activo</t>
        </is>
      </c>
    </row>
    <row r="28" ht="84" customHeight="1">
      <c r="A28" s="4" t="inlineStr">
        <is>
          <t>R-27</t>
        </is>
      </c>
      <c r="B28" s="5" t="inlineStr">
        <is>
          <t>Infraestructura</t>
        </is>
      </c>
      <c r="C28" s="5" t="inlineStr">
        <is>
          <t>Indisponibilidad de los servicios de Google Cloud durante la demostración</t>
        </is>
      </c>
      <c r="D28" s="5" t="inlineStr">
        <is>
          <t>Incidente del proveedor o del ambiente desplegado fuera del control del equipo</t>
        </is>
      </c>
      <c r="E28" s="5" t="inlineStr">
        <is>
          <t>Imposibilidad de demostrar el sistema en la instancia evaluada</t>
        </is>
      </c>
      <c r="F28" s="4" t="n">
        <v>2</v>
      </c>
      <c r="G28" s="4" t="n">
        <v>5</v>
      </c>
      <c r="H28" s="4">
        <f>F28*G28</f>
        <v/>
      </c>
      <c r="I28" s="6">
        <f>IF(H28="","",IF(H28&lt;=5,"Bajo",IF(H28&lt;=10,"Medio",IF(H28&lt;=15,"Alto","Crítico"))))</f>
        <v/>
      </c>
      <c r="J28" s="5" t="inlineStr">
        <is>
          <t>Mitigar</t>
        </is>
      </c>
      <c r="K28" s="5" t="inlineStr">
        <is>
          <t>Ambiente local funcional y actualizado como respaldo; video de respaldo de la demostración grabado con anticipación; verificación del ambiente el día previo</t>
        </is>
      </c>
      <c r="L28" s="5" t="inlineStr">
        <is>
          <t>Ejecutar la demostración desde el ambiente local o reproducir el video de respaldo</t>
        </is>
      </c>
      <c r="M28" s="5" t="inlineStr">
        <is>
          <t>Christian Cuadra</t>
        </is>
      </c>
      <c r="N28" s="5" t="inlineStr">
        <is>
          <t>Sprint 5</t>
        </is>
      </c>
      <c r="O28" s="4" t="n">
        <v>1</v>
      </c>
      <c r="P28" s="4" t="n">
        <v>4</v>
      </c>
      <c r="Q28" s="4">
        <f>O28*P28</f>
        <v/>
      </c>
      <c r="R28" s="6">
        <f>IF(Q28="","",IF(Q28&lt;=5,"Bajo",IF(Q28&lt;=10,"Medio",IF(Q28&lt;=15,"Alto","Crítico"))))</f>
        <v/>
      </c>
      <c r="S28" s="5" t="inlineStr">
        <is>
          <t>Activo</t>
        </is>
      </c>
    </row>
    <row r="29" ht="84" customHeight="1">
      <c r="A29" s="7" t="inlineStr">
        <is>
          <t>R-28</t>
        </is>
      </c>
      <c r="B29" s="8" t="inlineStr">
        <is>
          <t>Infraestructura</t>
        </is>
      </c>
      <c r="C29" s="8" t="inlineStr">
        <is>
          <t>Despliegue fallido sin posibilidad de revertir</t>
        </is>
      </c>
      <c r="D29" s="8" t="inlineStr">
        <is>
          <t>Ausencia de versionado de los despliegues y de un procedimiento de reversión documentado</t>
        </is>
      </c>
      <c r="E29" s="8" t="inlineStr">
        <is>
          <t>Ambiente productivo inoperativo durante horas en un momento crítico</t>
        </is>
      </c>
      <c r="F29" s="7" t="n">
        <v>3</v>
      </c>
      <c r="G29" s="7" t="n">
        <v>4</v>
      </c>
      <c r="H29" s="7">
        <f>F29*G29</f>
        <v/>
      </c>
      <c r="I29" s="9">
        <f>IF(H29="","",IF(H29&lt;=5,"Bajo",IF(H29&lt;=10,"Medio",IF(H29&lt;=15,"Alto","Crítico"))))</f>
        <v/>
      </c>
      <c r="J29" s="8" t="inlineStr">
        <is>
          <t>Evitar</t>
        </is>
      </c>
      <c r="K29" s="8" t="inlineStr">
        <is>
          <t>Despliegue por revisiones en Cloud Run con posibilidad de volver a la anterior; runbook de reversión documentado; despliegues siempre fuera de las fechas de entrega</t>
        </is>
      </c>
      <c r="L29" s="8" t="inlineStr">
        <is>
          <t>Revertir a la última revisión estable y analizar la falla en un ambiente separado</t>
        </is>
      </c>
      <c r="M29" s="8" t="inlineStr">
        <is>
          <t>Christian Cuadra</t>
        </is>
      </c>
      <c r="N29" s="8" t="inlineStr">
        <is>
          <t>Sprint 1 - Sprint 5</t>
        </is>
      </c>
      <c r="O29" s="7" t="n">
        <v>1</v>
      </c>
      <c r="P29" s="7" t="n">
        <v>3</v>
      </c>
      <c r="Q29" s="7">
        <f>O29*P29</f>
        <v/>
      </c>
      <c r="R29" s="9">
        <f>IF(Q29="","",IF(Q29&lt;=5,"Bajo",IF(Q29&lt;=10,"Medio",IF(Q29&lt;=15,"Alto","Crítico"))))</f>
        <v/>
      </c>
      <c r="S29" s="8" t="inlineStr">
        <is>
          <t>Activo</t>
        </is>
      </c>
    </row>
    <row r="30" ht="84" customHeight="1">
      <c r="A30" s="4" t="inlineStr">
        <is>
          <t>R-29</t>
        </is>
      </c>
      <c r="B30" s="5" t="inlineStr">
        <is>
          <t>Infraestructura</t>
        </is>
      </c>
      <c r="C30" s="5" t="inlineStr">
        <is>
          <t>Pérdida de código o documentación del proyecto</t>
        </is>
      </c>
      <c r="D30" s="5" t="inlineStr">
        <is>
          <t>Trabajo en local sin respaldo o con commits poco frecuentes</t>
        </is>
      </c>
      <c r="E30" s="5" t="inlineStr">
        <is>
          <t>Retroceso de varios días de trabajo y riesgo de incumplir el hito del sprint</t>
        </is>
      </c>
      <c r="F30" s="4" t="n">
        <v>2</v>
      </c>
      <c r="G30" s="4" t="n">
        <v>5</v>
      </c>
      <c r="H30" s="4">
        <f>F30*G30</f>
        <v/>
      </c>
      <c r="I30" s="6">
        <f>IF(H30="","",IF(H30&lt;=5,"Bajo",IF(H30&lt;=10,"Medio",IF(H30&lt;=15,"Alto","Crítico"))))</f>
        <v/>
      </c>
      <c r="J30" s="5" t="inlineStr">
        <is>
          <t>Evitar</t>
        </is>
      </c>
      <c r="K30" s="5" t="inlineStr">
        <is>
          <t>Repositorio Git remoto con commits diarios; documentación alojada en la nube con historial de versiones; respaldo semanal de la base de datos</t>
        </is>
      </c>
      <c r="L30" s="5" t="inlineStr">
        <is>
          <t>Restaurar desde el último respaldo disponible y reconstruir únicamente el trabajo diferencial</t>
        </is>
      </c>
      <c r="M30" s="5" t="inlineStr">
        <is>
          <t>Esteban Morales</t>
        </is>
      </c>
      <c r="N30" s="5" t="inlineStr">
        <is>
          <t>Sprint 0 - Sprint 5</t>
        </is>
      </c>
      <c r="O30" s="4" t="n">
        <v>1</v>
      </c>
      <c r="P30" s="4" t="n">
        <v>4</v>
      </c>
      <c r="Q30" s="4">
        <f>O30*P30</f>
        <v/>
      </c>
      <c r="R30" s="6">
        <f>IF(Q30="","",IF(Q30&lt;=5,"Bajo",IF(Q30&lt;=10,"Medio",IF(Q30&lt;=15,"Alto","Crítico"))))</f>
        <v/>
      </c>
      <c r="S30" s="5" t="inlineStr">
        <is>
          <t>Activo</t>
        </is>
      </c>
    </row>
    <row r="31" ht="84" customHeight="1">
      <c r="A31" s="7" t="inlineStr">
        <is>
          <t>R-30</t>
        </is>
      </c>
      <c r="B31" s="8" t="inlineStr">
        <is>
          <t>Infraestructura</t>
        </is>
      </c>
      <c r="C31" s="8" t="inlineStr">
        <is>
          <t>Desalineación entre los ambientes de desarrollo y producción</t>
        </is>
      </c>
      <c r="D31" s="8" t="inlineStr">
        <is>
          <t>Configuraciones y versiones distintas en cada máquina del equipo</t>
        </is>
      </c>
      <c r="E31" s="8" t="inlineStr">
        <is>
          <t>Defectos que solo aparecen en producción y no son reproducibles localmente</t>
        </is>
      </c>
      <c r="F31" s="7" t="n">
        <v>3</v>
      </c>
      <c r="G31" s="7" t="n">
        <v>3</v>
      </c>
      <c r="H31" s="7">
        <f>F31*G31</f>
        <v/>
      </c>
      <c r="I31" s="9">
        <f>IF(H31="","",IF(H31&lt;=5,"Bajo",IF(H31&lt;=10,"Medio",IF(H31&lt;=15,"Alto","Crítico"))))</f>
        <v/>
      </c>
      <c r="J31" s="8" t="inlineStr">
        <is>
          <t>Mitigar</t>
        </is>
      </c>
      <c r="K31" s="8" t="inlineStr">
        <is>
          <t>Ambiente contenedorizado compartido por el equipo; variables de configuración externalizadas; ambiente de pruebas equivalente al productivo antes de cada entrega</t>
        </is>
      </c>
      <c r="L31" s="8" t="inlineStr">
        <is>
          <t>Reproducir el defecto en el ambiente de pruebas y corregir antes de volver a desplegar</t>
        </is>
      </c>
      <c r="M31" s="8" t="inlineStr">
        <is>
          <t>Christian Cuadra</t>
        </is>
      </c>
      <c r="N31" s="8" t="inlineStr">
        <is>
          <t>Sprint 1 - Sprint 5</t>
        </is>
      </c>
      <c r="O31" s="7" t="n">
        <v>2</v>
      </c>
      <c r="P31" s="7" t="n">
        <v>2</v>
      </c>
      <c r="Q31" s="7">
        <f>O31*P31</f>
        <v/>
      </c>
      <c r="R31" s="9">
        <f>IF(Q31="","",IF(Q31&lt;=5,"Bajo",IF(Q31&lt;=10,"Medio",IF(Q31&lt;=15,"Alto","Crítico"))))</f>
        <v/>
      </c>
      <c r="S31" s="8" t="inlineStr">
        <is>
          <t>Activo</t>
        </is>
      </c>
    </row>
    <row r="32" ht="84" customHeight="1">
      <c r="A32" s="4" t="inlineStr">
        <is>
          <t>R-31</t>
        </is>
      </c>
      <c r="B32" s="5" t="inlineStr">
        <is>
          <t>Infraestructura</t>
        </is>
      </c>
      <c r="C32" s="5" t="inlineStr">
        <is>
          <t>Base de datos productiva sin respaldo automatizado</t>
        </is>
      </c>
      <c r="D32" s="5" t="inlineStr">
        <is>
          <t>Respaldos configurados manualmente y postergados por falta de tiempo</t>
        </is>
      </c>
      <c r="E32" s="5" t="inlineStr">
        <is>
          <t>Pérdida irrecuperable de la información cargada por la agencia y sus clientes</t>
        </is>
      </c>
      <c r="F32" s="4" t="n">
        <v>2</v>
      </c>
      <c r="G32" s="4" t="n">
        <v>5</v>
      </c>
      <c r="H32" s="4">
        <f>F32*G32</f>
        <v/>
      </c>
      <c r="I32" s="6">
        <f>IF(H32="","",IF(H32&lt;=5,"Bajo",IF(H32&lt;=10,"Medio",IF(H32&lt;=15,"Alto","Crítico"))))</f>
        <v/>
      </c>
      <c r="J32" s="5" t="inlineStr">
        <is>
          <t>Evitar</t>
        </is>
      </c>
      <c r="K32" s="5" t="inlineStr">
        <is>
          <t>Respaldo automático diario habilitado en Cloud SQL desde el primer despliegue; prueba de restauración documentada al menos una vez antes de la entrega</t>
        </is>
      </c>
      <c r="L32" s="5" t="inlineStr">
        <is>
          <t>Restaurar desde el respaldo más reciente y recapturar manualmente la información del período perdido</t>
        </is>
      </c>
      <c r="M32" s="5" t="inlineStr">
        <is>
          <t>Felipe Gutiérrez</t>
        </is>
      </c>
      <c r="N32" s="5" t="inlineStr">
        <is>
          <t>Sprint 1</t>
        </is>
      </c>
      <c r="O32" s="4" t="n">
        <v>1</v>
      </c>
      <c r="P32" s="4" t="n">
        <v>5</v>
      </c>
      <c r="Q32" s="4">
        <f>O32*P32</f>
        <v/>
      </c>
      <c r="R32" s="6">
        <f>IF(Q32="","",IF(Q32&lt;=5,"Bajo",IF(Q32&lt;=10,"Medio",IF(Q32&lt;=15,"Alto","Crítico"))))</f>
        <v/>
      </c>
      <c r="S32" s="5" t="inlineStr">
        <is>
          <t>Activo</t>
        </is>
      </c>
    </row>
    <row r="33" ht="230" customHeight="1">
      <c r="A33" s="7" t="inlineStr">
        <is>
          <t>R-32</t>
        </is>
      </c>
      <c r="B33" s="8" t="inlineStr">
        <is>
          <t>Seguridad</t>
        </is>
      </c>
      <c r="C33" s="8" t="inlineStr">
        <is>
          <t>Filtración de información entre clientes por fallo de aislamiento de datos</t>
        </is>
      </c>
      <c r="D33" s="8" t="inlineStr">
        <is>
          <t>Consultas sin filtro por identificador de cliente o reglas de control de acceso mal definidas</t>
        </is>
      </c>
      <c r="E33" s="8" t="inlineStr">
        <is>
          <t>Un cliente accede a información de otro: pérdida de confianza y posible incumplimiento legal</t>
        </is>
      </c>
      <c r="F33" s="7" t="n">
        <v>3</v>
      </c>
      <c r="G33" s="7" t="n">
        <v>5</v>
      </c>
      <c r="H33" s="7">
        <f>F33*G33</f>
        <v/>
      </c>
      <c r="I33" s="9">
        <f>IF(H33="","",IF(H33&lt;=5,"Bajo",IF(H33&lt;=10,"Medio",IF(H33&lt;=15,"Alto","Crítico"))))</f>
        <v/>
      </c>
      <c r="J33" s="8" t="inlineStr">
        <is>
          <t>Evitar</t>
        </is>
      </c>
      <c r="K33" s="8" t="inlineStr">
        <is>
          <t>Aislamiento lógico por identificador de cliente en todas las consultas; control de acceso basado en roles con Firebase Auth; revisión de código obligatoria sobre los endpoints del portal; casos de prueba de aislamiento en el plan de pruebas Actualización 12 oct 2026: se corrigió el acceso indebido al panel interno (un usuario cliente con la casilla "Es del equipo" veía prospectos, cotizaciones y la exportación CSV); ahora el acceso depende del rol y el formulario de usuarios no permite marcar esa casilla en un cliente. También se cerró la modificación de datos de un prospecto desde los formularios públicos: solo completan campos vacíos y los datos distintos quedan en el historial.</t>
        </is>
      </c>
      <c r="L33" s="8" t="inlineStr">
        <is>
          <t>Bloquear el acceso al portal, revocar las sesiones activas, corregir la falla, registrar el incidente e informar a la agencia</t>
        </is>
      </c>
      <c r="M33" s="8" t="inlineStr">
        <is>
          <t>Felipe Gutiérrez</t>
        </is>
      </c>
      <c r="N33" s="8" t="inlineStr">
        <is>
          <t>Sprint 3 - Sprint 5</t>
        </is>
      </c>
      <c r="O33" s="7" t="n">
        <v>1</v>
      </c>
      <c r="P33" s="7" t="n">
        <v>5</v>
      </c>
      <c r="Q33" s="7">
        <f>O33*P33</f>
        <v/>
      </c>
      <c r="R33" s="9">
        <f>IF(Q33="","",IF(Q33&lt;=5,"Bajo",IF(Q33&lt;=10,"Medio",IF(Q33&lt;=15,"Alto","Crítico"))))</f>
        <v/>
      </c>
      <c r="S33" s="8" t="inlineStr">
        <is>
          <t>En seguimiento</t>
        </is>
      </c>
    </row>
    <row r="34" ht="84" customHeight="1">
      <c r="A34" s="4" t="inlineStr">
        <is>
          <t>R-33</t>
        </is>
      </c>
      <c r="B34" s="5" t="inlineStr">
        <is>
          <t>Seguridad</t>
        </is>
      </c>
      <c r="C34" s="5" t="inlineStr">
        <is>
          <t>Exposición de credenciales o claves de API en el repositorio</t>
        </is>
      </c>
      <c r="D34" s="5" t="inlineStr">
        <is>
          <t>Claves escritas directamente en el código o en archivos de configuración versionados</t>
        </is>
      </c>
      <c r="E34" s="5" t="inlineStr">
        <is>
          <t>Acceso no autorizado a Google Cloud, Gemini o SendGrid, con costos no previstos asociados</t>
        </is>
      </c>
      <c r="F34" s="4" t="n">
        <v>3</v>
      </c>
      <c r="G34" s="4" t="n">
        <v>4</v>
      </c>
      <c r="H34" s="4">
        <f>F34*G34</f>
        <v/>
      </c>
      <c r="I34" s="6">
        <f>IF(H34="","",IF(H34&lt;=5,"Bajo",IF(H34&lt;=10,"Medio",IF(H34&lt;=15,"Alto","Crítico"))))</f>
        <v/>
      </c>
      <c r="J34" s="5" t="inlineStr">
        <is>
          <t>Evitar</t>
        </is>
      </c>
      <c r="K34" s="5" t="inlineStr">
        <is>
          <t>Variables de entorno y Secret Manager; archivo .gitignore definido desde el primer commit; revisión de los cambios antes de cada integración</t>
        </is>
      </c>
      <c r="L34" s="5" t="inlineStr">
        <is>
          <t>Rotar de inmediato las claves comprometidas y revisar los registros de uso de los servicios afectados</t>
        </is>
      </c>
      <c r="M34" s="5" t="inlineStr">
        <is>
          <t>Esteban Morales</t>
        </is>
      </c>
      <c r="N34" s="5" t="inlineStr">
        <is>
          <t>Sprint 0 - Sprint 5</t>
        </is>
      </c>
      <c r="O34" s="4" t="n">
        <v>1</v>
      </c>
      <c r="P34" s="4" t="n">
        <v>4</v>
      </c>
      <c r="Q34" s="4">
        <f>O34*P34</f>
        <v/>
      </c>
      <c r="R34" s="6">
        <f>IF(Q34="","",IF(Q34&lt;=5,"Bajo",IF(Q34&lt;=10,"Medio",IF(Q34&lt;=15,"Alto","Crítico"))))</f>
        <v/>
      </c>
      <c r="S34" s="5" t="inlineStr">
        <is>
          <t>Activo</t>
        </is>
      </c>
    </row>
    <row r="35" ht="84" customHeight="1">
      <c r="A35" s="7" t="inlineStr">
        <is>
          <t>R-34</t>
        </is>
      </c>
      <c r="B35" s="8" t="inlineStr">
        <is>
          <t>Seguridad</t>
        </is>
      </c>
      <c r="C35" s="8" t="inlineStr">
        <is>
          <t>Inyección de código o scripts por validación insuficiente de las entradas</t>
        </is>
      </c>
      <c r="D35" s="8" t="inlineStr">
        <is>
          <t>Formularios del sitio, del cotizador y del CMS que aceptan contenido sin sanitizar</t>
        </is>
      </c>
      <c r="E35" s="8" t="inlineStr">
        <is>
          <t>Compromiso de la base de datos o ejecución de scripts en el navegador de otros usuarios</t>
        </is>
      </c>
      <c r="F35" s="7" t="n">
        <v>3</v>
      </c>
      <c r="G35" s="7" t="n">
        <v>5</v>
      </c>
      <c r="H35" s="7">
        <f>F35*G35</f>
        <v/>
      </c>
      <c r="I35" s="9">
        <f>IF(H35="","",IF(H35&lt;=5,"Bajo",IF(H35&lt;=10,"Medio",IF(H35&lt;=15,"Alto","Crítico"))))</f>
        <v/>
      </c>
      <c r="J35" s="8" t="inlineStr">
        <is>
          <t>Evitar</t>
        </is>
      </c>
      <c r="K35" s="8" t="inlineStr">
        <is>
          <t>Consultas parametrizadas en toda la capa de datos; validación y sanitización en el servidor además del cliente; codificación de la salida en el CMS; casos de prueba de seguridad en el plan de pruebas</t>
        </is>
      </c>
      <c r="L35" s="8" t="inlineStr">
        <is>
          <t>Deshabilitar el formulario afectado, corregir la validación y revisar los registros en busca de intentos previos</t>
        </is>
      </c>
      <c r="M35" s="8" t="inlineStr">
        <is>
          <t>Felipe Gutiérrez</t>
        </is>
      </c>
      <c r="N35" s="8" t="inlineStr">
        <is>
          <t>Sprint 1 - Sprint 5</t>
        </is>
      </c>
      <c r="O35" s="7" t="n">
        <v>1</v>
      </c>
      <c r="P35" s="7" t="n">
        <v>5</v>
      </c>
      <c r="Q35" s="7">
        <f>O35*P35</f>
        <v/>
      </c>
      <c r="R35" s="9">
        <f>IF(Q35="","",IF(Q35&lt;=5,"Bajo",IF(Q35&lt;=10,"Medio",IF(Q35&lt;=15,"Alto","Crítico"))))</f>
        <v/>
      </c>
      <c r="S35" s="8" t="inlineStr">
        <is>
          <t>Activo</t>
        </is>
      </c>
    </row>
    <row r="36" ht="84" customHeight="1">
      <c r="A36" s="4" t="inlineStr">
        <is>
          <t>R-35</t>
        </is>
      </c>
      <c r="B36" s="5" t="inlineStr">
        <is>
          <t>Seguridad</t>
        </is>
      </c>
      <c r="C36" s="5" t="inlineStr">
        <is>
          <t>Asignación de privilegios excesivos a una cuenta</t>
        </is>
      </c>
      <c r="D36" s="5" t="inlineStr">
        <is>
          <t>Roles mal definidos o uso de una cuenta administrativa para tareas cotidianas</t>
        </is>
      </c>
      <c r="E36" s="5" t="inlineStr">
        <is>
          <t>Un usuario cliente con acceso a funciones de administración o a datos de otros clientes</t>
        </is>
      </c>
      <c r="F36" s="4" t="n">
        <v>2</v>
      </c>
      <c r="G36" s="4" t="n">
        <v>5</v>
      </c>
      <c r="H36" s="4">
        <f>F36*G36</f>
        <v/>
      </c>
      <c r="I36" s="6">
        <f>IF(H36="","",IF(H36&lt;=5,"Bajo",IF(H36&lt;=10,"Medio",IF(H36&lt;=15,"Alto","Crítico"))))</f>
        <v/>
      </c>
      <c r="J36" s="5" t="inlineStr">
        <is>
          <t>Evitar</t>
        </is>
      </c>
      <c r="K36" s="5" t="inlineStr">
        <is>
          <t>Modelo de roles documentado con privilegio mínimo; permisos verificados en el servidor y no solo ocultos en la interfaz; revisión de la matriz de roles antes de la entrega final</t>
        </is>
      </c>
      <c r="L36" s="5" t="inlineStr">
        <is>
          <t>Revocar el rol asignado erróneamente, auditar las acciones realizadas y corregir la asignación</t>
        </is>
      </c>
      <c r="M36" s="5" t="inlineStr">
        <is>
          <t>Felipe Gutiérrez</t>
        </is>
      </c>
      <c r="N36" s="5" t="inlineStr">
        <is>
          <t>Sprint 2 - Sprint 4</t>
        </is>
      </c>
      <c r="O36" s="4" t="n">
        <v>1</v>
      </c>
      <c r="P36" s="4" t="n">
        <v>4</v>
      </c>
      <c r="Q36" s="4">
        <f>O36*P36</f>
        <v/>
      </c>
      <c r="R36" s="6">
        <f>IF(Q36="","",IF(Q36&lt;=5,"Bajo",IF(Q36&lt;=10,"Medio",IF(Q36&lt;=15,"Alto","Crítico"))))</f>
        <v/>
      </c>
      <c r="S36" s="5" t="inlineStr">
        <is>
          <t>Activo</t>
        </is>
      </c>
    </row>
    <row r="37" ht="84" customHeight="1">
      <c r="A37" s="7" t="inlineStr">
        <is>
          <t>R-36</t>
        </is>
      </c>
      <c r="B37" s="8" t="inlineStr">
        <is>
          <t>Seguridad</t>
        </is>
      </c>
      <c r="C37" s="8" t="inlineStr">
        <is>
          <t>Acceso no autorizado por credenciales débiles o ataque de fuerza bruta</t>
        </is>
      </c>
      <c r="D37" s="8" t="inlineStr">
        <is>
          <t>Usuarios que definen contraseñas simples y ausencia de bloqueo tras intentos fallidos</t>
        </is>
      </c>
      <c r="E37" s="8" t="inlineStr">
        <is>
          <t>Suplantación de un usuario cliente y acceso a su información comercial</t>
        </is>
      </c>
      <c r="F37" s="7" t="n">
        <v>3</v>
      </c>
      <c r="G37" s="7" t="n">
        <v>3</v>
      </c>
      <c r="H37" s="7">
        <f>F37*G37</f>
        <v/>
      </c>
      <c r="I37" s="9">
        <f>IF(H37="","",IF(H37&lt;=5,"Bajo",IF(H37&lt;=10,"Medio",IF(H37&lt;=15,"Alto","Crítico"))))</f>
        <v/>
      </c>
      <c r="J37" s="8" t="inlineStr">
        <is>
          <t>Mitigar</t>
        </is>
      </c>
      <c r="K37" s="8" t="inlineStr">
        <is>
          <t>Política de contraseñas y bloqueo temporal tras intentos fallidos mediante Firebase Auth; segundo factor obligatorio para las cuentas de administración; registro de accesos</t>
        </is>
      </c>
      <c r="L37" s="8" t="inlineStr">
        <is>
          <t>Forzar el restablecimiento de la contraseña afectada, cerrar las sesiones activas y revisar la actividad registrada</t>
        </is>
      </c>
      <c r="M37" s="8" t="inlineStr">
        <is>
          <t>Felipe Gutiérrez</t>
        </is>
      </c>
      <c r="N37" s="8" t="inlineStr">
        <is>
          <t>Sprint 2 - Sprint 3</t>
        </is>
      </c>
      <c r="O37" s="7" t="n">
        <v>1</v>
      </c>
      <c r="P37" s="7" t="n">
        <v>3</v>
      </c>
      <c r="Q37" s="7">
        <f>O37*P37</f>
        <v/>
      </c>
      <c r="R37" s="9">
        <f>IF(Q37="","",IF(Q37&lt;=5,"Bajo",IF(Q37&lt;=10,"Medio",IF(Q37&lt;=15,"Alto","Crítico"))))</f>
        <v/>
      </c>
      <c r="S37" s="8" t="inlineStr">
        <is>
          <t>Activo</t>
        </is>
      </c>
    </row>
    <row r="38" ht="84" customHeight="1">
      <c r="A38" s="4" t="inlineStr">
        <is>
          <t>R-37</t>
        </is>
      </c>
      <c r="B38" s="5" t="inlineStr">
        <is>
          <t>Seguridad</t>
        </is>
      </c>
      <c r="C38" s="5" t="inlineStr">
        <is>
          <t>Carga de archivos maliciosos en el módulo de contenido</t>
        </is>
      </c>
      <c r="D38" s="5" t="inlineStr">
        <is>
          <t>El portal permite subir imágenes y documentos sin validar tipo ni contenido</t>
        </is>
      </c>
      <c r="E38" s="5" t="inlineStr">
        <is>
          <t>Almacenamiento y distribución de archivos dañinos desde la plataforma</t>
        </is>
      </c>
      <c r="F38" s="4" t="n">
        <v>2</v>
      </c>
      <c r="G38" s="4" t="n">
        <v>4</v>
      </c>
      <c r="H38" s="4">
        <f>F38*G38</f>
        <v/>
      </c>
      <c r="I38" s="6">
        <f>IF(H38="","",IF(H38&lt;=5,"Bajo",IF(H38&lt;=10,"Medio",IF(H38&lt;=15,"Alto","Crítico"))))</f>
        <v/>
      </c>
      <c r="J38" s="5" t="inlineStr">
        <is>
          <t>Evitar</t>
        </is>
      </c>
      <c r="K38" s="5" t="inlineStr">
        <is>
          <t>Validación de tipo y tamaño en el servidor; almacenamiento en Cloud Storage fuera del dominio de la aplicación; nombres de archivo generados por el sistema</t>
        </is>
      </c>
      <c r="L38" s="5" t="inlineStr">
        <is>
          <t>Eliminar el archivo, revocar su enlace público y revisar el resto de las cargas del mismo usuario</t>
        </is>
      </c>
      <c r="M38" s="5" t="inlineStr">
        <is>
          <t>Esteban Morales</t>
        </is>
      </c>
      <c r="N38" s="5" t="inlineStr">
        <is>
          <t>Sprint 3</t>
        </is>
      </c>
      <c r="O38" s="4" t="n">
        <v>1</v>
      </c>
      <c r="P38" s="4" t="n">
        <v>4</v>
      </c>
      <c r="Q38" s="4">
        <f>O38*P38</f>
        <v/>
      </c>
      <c r="R38" s="6">
        <f>IF(Q38="","",IF(Q38&lt;=5,"Bajo",IF(Q38&lt;=10,"Medio",IF(Q38&lt;=15,"Alto","Crítico"))))</f>
        <v/>
      </c>
      <c r="S38" s="5" t="inlineStr">
        <is>
          <t>Activo</t>
        </is>
      </c>
    </row>
    <row r="39" ht="84" customHeight="1">
      <c r="A39" s="7" t="inlineStr">
        <is>
          <t>R-38</t>
        </is>
      </c>
      <c r="B39" s="8" t="inlineStr">
        <is>
          <t>Seguridad</t>
        </is>
      </c>
      <c r="C39" s="8" t="inlineStr">
        <is>
          <t>Ausencia de registro de auditoría de las acciones críticas</t>
        </is>
      </c>
      <c r="D39" s="8" t="inlineStr">
        <is>
          <t>No se implementa bitácora de aprobaciones, cambios de estado ni accesos administrativos</t>
        </is>
      </c>
      <c r="E39" s="8" t="inlineStr">
        <is>
          <t>Imposibilidad de determinar quién aprobó o modificó un contenido ante una disputa con un cliente</t>
        </is>
      </c>
      <c r="F39" s="7" t="n">
        <v>3</v>
      </c>
      <c r="G39" s="7" t="n">
        <v>3</v>
      </c>
      <c r="H39" s="7">
        <f>F39*G39</f>
        <v/>
      </c>
      <c r="I39" s="9">
        <f>IF(H39="","",IF(H39&lt;=5,"Bajo",IF(H39&lt;=10,"Medio",IF(H39&lt;=15,"Alto","Crítico"))))</f>
        <v/>
      </c>
      <c r="J39" s="8" t="inlineStr">
        <is>
          <t>Mitigar</t>
        </is>
      </c>
      <c r="K39" s="8" t="inlineStr">
        <is>
          <t>Bitácora de auditoría sobre aprobaciones, cambios de estado, accesos administrativos y eliminaciones; registros consultables desde el panel de administración</t>
        </is>
      </c>
      <c r="L39" s="8" t="inlineStr">
        <is>
          <t>Reconstruir el historial desde los registros de la base de datos y formalizar el acuerdo con el cliente por escrito</t>
        </is>
      </c>
      <c r="M39" s="8" t="inlineStr">
        <is>
          <t>Felipe Gutiérrez</t>
        </is>
      </c>
      <c r="N39" s="8" t="inlineStr">
        <is>
          <t>Sprint 3 - Sprint 4</t>
        </is>
      </c>
      <c r="O39" s="7" t="n">
        <v>1</v>
      </c>
      <c r="P39" s="7" t="n">
        <v>3</v>
      </c>
      <c r="Q39" s="7">
        <f>O39*P39</f>
        <v/>
      </c>
      <c r="R39" s="9">
        <f>IF(Q39="","",IF(Q39&lt;=5,"Bajo",IF(Q39&lt;=10,"Medio",IF(Q39&lt;=15,"Alto","Crítico"))))</f>
        <v/>
      </c>
      <c r="S39" s="8" t="inlineStr">
        <is>
          <t>Activo</t>
        </is>
      </c>
    </row>
    <row r="40" ht="84" customHeight="1">
      <c r="A40" s="4" t="inlineStr">
        <is>
          <t>R-39</t>
        </is>
      </c>
      <c r="B40" s="5" t="inlineStr">
        <is>
          <t>Legal / Datos personales</t>
        </is>
      </c>
      <c r="C40" s="5" t="inlineStr">
        <is>
          <t>Incumplimiento de la Ley 19.628 sobre protección de la vida privada</t>
        </is>
      </c>
      <c r="D40" s="5" t="inlineStr">
        <is>
          <t>Se almacenan datos de prospectos y clientes sin consentimiento explícito ni política definida</t>
        </is>
      </c>
      <c r="E40" s="5" t="inlineStr">
        <is>
          <t>Observaciones en la evaluación y exposición legal para la agencia al operar la plataforma</t>
        </is>
      </c>
      <c r="F40" s="4" t="n">
        <v>2</v>
      </c>
      <c r="G40" s="4" t="n">
        <v>4</v>
      </c>
      <c r="H40" s="4">
        <f>F40*G40</f>
        <v/>
      </c>
      <c r="I40" s="6">
        <f>IF(H40="","",IF(H40&lt;=5,"Bajo",IF(H40&lt;=10,"Medio",IF(H40&lt;=15,"Alto","Crítico"))))</f>
        <v/>
      </c>
      <c r="J40" s="5" t="inlineStr">
        <is>
          <t>Mitigar</t>
        </is>
      </c>
      <c r="K40" s="5" t="inlineStr">
        <is>
          <t>Consentimiento explícito en los formularios de contacto y cotización; política de privacidad publicada; principio de dato mínimo; cifrado en tránsito y en reposo</t>
        </is>
      </c>
      <c r="L40" s="5" t="inlineStr">
        <is>
          <t>Eliminar los datos almacenados sin justificación y publicar la política corregida antes de la entrega final</t>
        </is>
      </c>
      <c r="M40" s="5" t="inlineStr">
        <is>
          <t>Felipe Gutiérrez</t>
        </is>
      </c>
      <c r="N40" s="5" t="inlineStr">
        <is>
          <t>Sprint 1 - Sprint 2</t>
        </is>
      </c>
      <c r="O40" s="4" t="n">
        <v>1</v>
      </c>
      <c r="P40" s="4" t="n">
        <v>4</v>
      </c>
      <c r="Q40" s="4">
        <f>O40*P40</f>
        <v/>
      </c>
      <c r="R40" s="6">
        <f>IF(Q40="","",IF(Q40&lt;=5,"Bajo",IF(Q40&lt;=10,"Medio",IF(Q40&lt;=15,"Alto","Crítico"))))</f>
        <v/>
      </c>
      <c r="S40" s="5" t="inlineStr">
        <is>
          <t>Activo</t>
        </is>
      </c>
    </row>
    <row r="41" ht="84" customHeight="1">
      <c r="A41" s="7" t="inlineStr">
        <is>
          <t>R-40</t>
        </is>
      </c>
      <c r="B41" s="8" t="inlineStr">
        <is>
          <t>Legal / Datos personales</t>
        </is>
      </c>
      <c r="C41" s="8" t="inlineStr">
        <is>
          <t>Publicación accidental de información de un cliente en el sitio corporativo</t>
        </is>
      </c>
      <c r="D41" s="8" t="inlineStr">
        <is>
          <t>El CMS permite publicar casos de éxito con datos o métricas sin autorización previa</t>
        </is>
      </c>
      <c r="E41" s="8" t="inlineStr">
        <is>
          <t>Exposición pública de información comercial sensible de un cliente de la agencia</t>
        </is>
      </c>
      <c r="F41" s="7" t="n">
        <v>2</v>
      </c>
      <c r="G41" s="7" t="n">
        <v>4</v>
      </c>
      <c r="H41" s="7">
        <f>F41*G41</f>
        <v/>
      </c>
      <c r="I41" s="9">
        <f>IF(H41="","",IF(H41&lt;=5,"Bajo",IF(H41&lt;=10,"Medio",IF(H41&lt;=15,"Alto","Crítico"))))</f>
        <v/>
      </c>
      <c r="J41" s="8" t="inlineStr">
        <is>
          <t>Evitar</t>
        </is>
      </c>
      <c r="K41" s="8" t="inlineStr">
        <is>
          <t>Flujo de publicación con estado de borrador y aprobación previa; advertencia en el CMS sobre el uso de datos de clientes; autorización escrita para cada caso de éxito publicado</t>
        </is>
      </c>
      <c r="L41" s="8" t="inlineStr">
        <is>
          <t>Despublicar el contenido de inmediato, solicitar la remoción de la caché y notificar al cliente afectado</t>
        </is>
      </c>
      <c r="M41" s="8" t="inlineStr">
        <is>
          <t>Esteban Morales</t>
        </is>
      </c>
      <c r="N41" s="8" t="inlineStr">
        <is>
          <t>Sprint 1</t>
        </is>
      </c>
      <c r="O41" s="7" t="n">
        <v>1</v>
      </c>
      <c r="P41" s="7" t="n">
        <v>4</v>
      </c>
      <c r="Q41" s="7">
        <f>O41*P41</f>
        <v/>
      </c>
      <c r="R41" s="9">
        <f>IF(Q41="","",IF(Q41&lt;=5,"Bajo",IF(Q41&lt;=10,"Medio",IF(Q41&lt;=15,"Alto","Crítico"))))</f>
        <v/>
      </c>
      <c r="S41" s="8" t="inlineStr">
        <is>
          <t>Activo</t>
        </is>
      </c>
    </row>
    <row r="42" ht="84" customHeight="1">
      <c r="A42" s="4" t="inlineStr">
        <is>
          <t>R-41</t>
        </is>
      </c>
      <c r="B42" s="5" t="inlineStr">
        <is>
          <t>Legal / Datos personales</t>
        </is>
      </c>
      <c r="C42" s="5" t="inlineStr">
        <is>
          <t>Uso de imágenes o contenido sin licencia en el sitio y el CMS</t>
        </is>
      </c>
      <c r="D42" s="5" t="inlineStr">
        <is>
          <t>Material gráfico descargado sin verificar sus condiciones de uso</t>
        </is>
      </c>
      <c r="E42" s="5" t="inlineStr">
        <is>
          <t>Reclamo de derechos de autor sobre contenido publicado por la agencia</t>
        </is>
      </c>
      <c r="F42" s="4" t="n">
        <v>2</v>
      </c>
      <c r="G42" s="4" t="n">
        <v>3</v>
      </c>
      <c r="H42" s="4">
        <f>F42*G42</f>
        <v/>
      </c>
      <c r="I42" s="6">
        <f>IF(H42="","",IF(H42&lt;=5,"Bajo",IF(H42&lt;=10,"Medio",IF(H42&lt;=15,"Alto","Crítico"))))</f>
        <v/>
      </c>
      <c r="J42" s="5" t="inlineStr">
        <is>
          <t>Mitigar</t>
        </is>
      </c>
      <c r="K42" s="5" t="inlineStr">
        <is>
          <t>Uso exclusivo de bancos de imágenes con licencia libre o material propio de la agencia; registro del origen de cada recurso en el CMS</t>
        </is>
      </c>
      <c r="L42" s="5" t="inlineStr">
        <is>
          <t>Reemplazar el recurso cuestionado y revisar el resto del material publicado</t>
        </is>
      </c>
      <c r="M42" s="5" t="inlineStr">
        <is>
          <t>Esteban Morales</t>
        </is>
      </c>
      <c r="N42" s="5" t="inlineStr">
        <is>
          <t>Sprint 1</t>
        </is>
      </c>
      <c r="O42" s="4" t="n">
        <v>1</v>
      </c>
      <c r="P42" s="4" t="n">
        <v>3</v>
      </c>
      <c r="Q42" s="4">
        <f>O42*P42</f>
        <v/>
      </c>
      <c r="R42" s="6">
        <f>IF(Q42="","",IF(Q42&lt;=5,"Bajo",IF(Q42&lt;=10,"Medio",IF(Q42&lt;=15,"Alto","Crítico"))))</f>
        <v/>
      </c>
      <c r="S42" s="5" t="inlineStr">
        <is>
          <t>Activo</t>
        </is>
      </c>
    </row>
    <row r="43" ht="84" customHeight="1">
      <c r="A43" s="7" t="inlineStr">
        <is>
          <t>R-42</t>
        </is>
      </c>
      <c r="B43" s="8" t="inlineStr">
        <is>
          <t>IA</t>
        </is>
      </c>
      <c r="C43" s="8" t="inlineStr">
        <is>
          <t>Resultados de Gemini imprecisos o inconsistentes en diagnósticos y reportes</t>
        </is>
      </c>
      <c r="D43" s="8" t="inlineStr">
        <is>
          <t>Naturaleza generativa del modelo, sin control determinista sobre el contenido de la salida</t>
        </is>
      </c>
      <c r="E43" s="8" t="inlineStr">
        <is>
          <t>Contenido erróneo enviado a un cliente real de la agencia, afectando su credibilidad</t>
        </is>
      </c>
      <c r="F43" s="7" t="n">
        <v>4</v>
      </c>
      <c r="G43" s="7" t="n">
        <v>3</v>
      </c>
      <c r="H43" s="7">
        <f>F43*G43</f>
        <v/>
      </c>
      <c r="I43" s="9">
        <f>IF(H43="","",IF(H43&lt;=5,"Bajo",IF(H43&lt;=10,"Medio",IF(H43&lt;=15,"Alto","Crítico"))))</f>
        <v/>
      </c>
      <c r="J43" s="8" t="inlineStr">
        <is>
          <t>Mitigar</t>
        </is>
      </c>
      <c r="K43" s="8" t="inlineStr">
        <is>
          <t>Toda salida de IA se presenta como borrador editable y requiere aprobación humana antes de enviarse; prompts versionados y probados; validación del formato de la respuesta antes de mostrarla</t>
        </is>
      </c>
      <c r="L43" s="8" t="inlineStr">
        <is>
          <t>Deshabilitar la función asistida y dejar operativo el flujo manual equivalente sin bloquear el módulo</t>
        </is>
      </c>
      <c r="M43" s="8" t="inlineStr">
        <is>
          <t>Esteban Morales</t>
        </is>
      </c>
      <c r="N43" s="8" t="inlineStr">
        <is>
          <t>Sprint 2 - Sprint 4</t>
        </is>
      </c>
      <c r="O43" s="7" t="n">
        <v>2</v>
      </c>
      <c r="P43" s="7" t="n">
        <v>2</v>
      </c>
      <c r="Q43" s="7">
        <f>O43*P43</f>
        <v/>
      </c>
      <c r="R43" s="9">
        <f>IF(Q43="","",IF(Q43&lt;=5,"Bajo",IF(Q43&lt;=10,"Medio",IF(Q43&lt;=15,"Alto","Crítico"))))</f>
        <v/>
      </c>
      <c r="S43" s="8" t="inlineStr">
        <is>
          <t>Activo</t>
        </is>
      </c>
    </row>
    <row r="44" ht="150" customHeight="1">
      <c r="A44" s="4" t="inlineStr">
        <is>
          <t>R-43</t>
        </is>
      </c>
      <c r="B44" s="5" t="inlineStr">
        <is>
          <t>IA</t>
        </is>
      </c>
      <c r="C44" s="5" t="inlineStr">
        <is>
          <t>Envío a un cliente de contenido generado por IA sin revisión humana</t>
        </is>
      </c>
      <c r="D44" s="5" t="inlineStr">
        <is>
          <t>La interfaz permite enviar el borrador directamente sin un paso de confirmación explícito</t>
        </is>
      </c>
      <c r="E44" s="5" t="inlineStr">
        <is>
          <t>El cliente recibe un reporte con datos inventados o con errores de contexto</t>
        </is>
      </c>
      <c r="F44" s="4" t="n">
        <v>3</v>
      </c>
      <c r="G44" s="4" t="n">
        <v>4</v>
      </c>
      <c r="H44" s="4">
        <f>F44*G44</f>
        <v/>
      </c>
      <c r="I44" s="6">
        <f>IF(H44="","",IF(H44&lt;=5,"Bajo",IF(H44&lt;=10,"Medio",IF(H44&lt;=15,"Alto","Crítico"))))</f>
        <v/>
      </c>
      <c r="J44" s="5" t="inlineStr">
        <is>
          <t>Evitar</t>
        </is>
      </c>
      <c r="K44" s="5" t="inlineStr">
        <is>
          <t>Paso de confirmación obligatorio con vista previa antes de enviar; marca visible de contenido generado por IA mientras está en borrador; imposibilidad técnica de envío automático Actualización 13 oct 2026: la revisión del diagnóstico por la administradora queda como una opción más, no obligatoria (no podrá revisarlos todos); la regla de aprobación humana sigue en PC-IA-04 (Sprint 4). El texto se entrega limpio, sin saludo interno ni símbolos.</t>
        </is>
      </c>
      <c r="L44" s="5" t="inlineStr">
        <is>
          <t>Emitir una corrección al cliente desde la agencia y revisar el flujo que permitió el envío</t>
        </is>
      </c>
      <c r="M44" s="5" t="inlineStr">
        <is>
          <t>Felipe Gutiérrez</t>
        </is>
      </c>
      <c r="N44" s="5" t="inlineStr">
        <is>
          <t>Sprint 4</t>
        </is>
      </c>
      <c r="O44" s="4" t="n">
        <v>1</v>
      </c>
      <c r="P44" s="4" t="n">
        <v>4</v>
      </c>
      <c r="Q44" s="4">
        <f>O44*P44</f>
        <v/>
      </c>
      <c r="R44" s="6">
        <f>IF(Q44="","",IF(Q44&lt;=5,"Bajo",IF(Q44&lt;=10,"Medio",IF(Q44&lt;=15,"Alto","Crítico"))))</f>
        <v/>
      </c>
      <c r="S44" s="5" t="inlineStr">
        <is>
          <t>Activo</t>
        </is>
      </c>
    </row>
    <row r="45" ht="84" customHeight="1">
      <c r="A45" s="7" t="inlineStr">
        <is>
          <t>R-44</t>
        </is>
      </c>
      <c r="B45" s="8" t="inlineStr">
        <is>
          <t>IA</t>
        </is>
      </c>
      <c r="C45" s="8" t="inlineStr">
        <is>
          <t>Envío de datos sensibles de clientes en los prompts al modelo</t>
        </is>
      </c>
      <c r="D45" s="8" t="inlineStr">
        <is>
          <t>Se incluye información comercial completa en la solicitud para mejorar el resultado</t>
        </is>
      </c>
      <c r="E45" s="8" t="inlineStr">
        <is>
          <t>Datos de la agencia y de sus clientes procesados fuera del control del sistema</t>
        </is>
      </c>
      <c r="F45" s="7" t="n">
        <v>3</v>
      </c>
      <c r="G45" s="7" t="n">
        <v>4</v>
      </c>
      <c r="H45" s="7">
        <f>F45*G45</f>
        <v/>
      </c>
      <c r="I45" s="9">
        <f>IF(H45="","",IF(H45&lt;=5,"Bajo",IF(H45&lt;=10,"Medio",IF(H45&lt;=15,"Alto","Crítico"))))</f>
        <v/>
      </c>
      <c r="J45" s="8" t="inlineStr">
        <is>
          <t>Mitigar</t>
        </is>
      </c>
      <c r="K45" s="8" t="inlineStr">
        <is>
          <t>Anonimización y reducción del contexto enviado al modelo; exclusión explícita de datos identificatorios; documentación de qué información se envía en cada función de IA</t>
        </is>
      </c>
      <c r="L45" s="8" t="inlineStr">
        <is>
          <t>Suspender la función, ajustar el prompt para excluir el dato y registrar el incidente</t>
        </is>
      </c>
      <c r="M45" s="8" t="inlineStr">
        <is>
          <t>Felipe Gutiérrez</t>
        </is>
      </c>
      <c r="N45" s="8" t="inlineStr">
        <is>
          <t>Sprint 2 - Sprint 4</t>
        </is>
      </c>
      <c r="O45" s="7" t="n">
        <v>1</v>
      </c>
      <c r="P45" s="7" t="n">
        <v>3</v>
      </c>
      <c r="Q45" s="7">
        <f>O45*P45</f>
        <v/>
      </c>
      <c r="R45" s="9">
        <f>IF(Q45="","",IF(Q45&lt;=5,"Bajo",IF(Q45&lt;=10,"Medio",IF(Q45&lt;=15,"Alto","Crítico"))))</f>
        <v/>
      </c>
      <c r="S45" s="8" t="inlineStr">
        <is>
          <t>Activo</t>
        </is>
      </c>
    </row>
    <row r="46" ht="84" customHeight="1">
      <c r="A46" s="4" t="inlineStr">
        <is>
          <t>R-45</t>
        </is>
      </c>
      <c r="B46" s="5" t="inlineStr">
        <is>
          <t>IA</t>
        </is>
      </c>
      <c r="C46" s="5" t="inlineStr">
        <is>
          <t>Cambios en la API o en los modelos disponibles de Gemini durante el desarrollo</t>
        </is>
      </c>
      <c r="D46" s="5" t="inlineStr">
        <is>
          <t>Evolución de las versiones del modelo y de sus condiciones de uso por parte del proveedor</t>
        </is>
      </c>
      <c r="E46" s="5" t="inlineStr">
        <is>
          <t>Funciones de IA inoperativas o con comportamiento distinto al validado</t>
        </is>
      </c>
      <c r="F46" s="4" t="n">
        <v>2</v>
      </c>
      <c r="G46" s="4" t="n">
        <v>3</v>
      </c>
      <c r="H46" s="4">
        <f>F46*G46</f>
        <v/>
      </c>
      <c r="I46" s="6">
        <f>IF(H46="","",IF(H46&lt;=5,"Bajo",IF(H46&lt;=10,"Medio",IF(H46&lt;=15,"Alto","Crítico"))))</f>
        <v/>
      </c>
      <c r="J46" s="5" t="inlineStr">
        <is>
          <t>Mitigar</t>
        </is>
      </c>
      <c r="K46" s="5" t="inlineStr">
        <is>
          <t>Versión del modelo fijada explícitamente; capa de abstracción que aísla al proveedor de IA del resto del sistema; revisión periódica del registro de cambios</t>
        </is>
      </c>
      <c r="L46" s="5" t="inlineStr">
        <is>
          <t>Ajustar la capa de abstracción a la nueva versión y revalidar los prompts afectados</t>
        </is>
      </c>
      <c r="M46" s="5" t="inlineStr">
        <is>
          <t>Esteban Morales</t>
        </is>
      </c>
      <c r="N46" s="5" t="inlineStr">
        <is>
          <t>Sprint 2 - Sprint 5</t>
        </is>
      </c>
      <c r="O46" s="4" t="n">
        <v>1</v>
      </c>
      <c r="P46" s="4" t="n">
        <v>3</v>
      </c>
      <c r="Q46" s="4">
        <f>O46*P46</f>
        <v/>
      </c>
      <c r="R46" s="6">
        <f>IF(Q46="","",IF(Q46&lt;=5,"Bajo",IF(Q46&lt;=10,"Medio",IF(Q46&lt;=15,"Alto","Crítico"))))</f>
        <v/>
      </c>
      <c r="S46" s="5" t="inlineStr">
        <is>
          <t>Activo</t>
        </is>
      </c>
    </row>
    <row r="47" ht="120" customHeight="1">
      <c r="A47" s="7" t="inlineStr">
        <is>
          <t>R-46</t>
        </is>
      </c>
      <c r="B47" s="8" t="inlineStr">
        <is>
          <t>IA</t>
        </is>
      </c>
      <c r="C47" s="8" t="inlineStr">
        <is>
          <t>Latencia elevada en las respuestas del modelo de IA</t>
        </is>
      </c>
      <c r="D47" s="8" t="inlineStr">
        <is>
          <t>Generación de textos extensos en una única llamada sincrónica</t>
        </is>
      </c>
      <c r="E47" s="8" t="inlineStr">
        <is>
          <t>El usuario percibe la plataforma como lenta y abandona la función asistida</t>
        </is>
      </c>
      <c r="F47" s="7" t="n">
        <v>3</v>
      </c>
      <c r="G47" s="7" t="n">
        <v>2</v>
      </c>
      <c r="H47" s="7">
        <f>F47*G47</f>
        <v/>
      </c>
      <c r="I47" s="9">
        <f>IF(H47="","",IF(H47&lt;=5,"Bajo",IF(H47&lt;=10,"Medio",IF(H47&lt;=15,"Alto","Crítico"))))</f>
        <v/>
      </c>
      <c r="J47" s="8" t="inlineStr">
        <is>
          <t>Mitigar</t>
        </is>
      </c>
      <c r="K47" s="8" t="inlineStr">
        <is>
          <t>Procesamiento asincrónico con indicador de progreso; generación por secciones; caché de los resultados ya generados Actualización 12 oct 2026: con el modelo lite y el razonamiento en nivel bajo, el diagnóstico pasó de 18–50 s a unos 3 s.</t>
        </is>
      </c>
      <c r="L47" s="8" t="inlineStr">
        <is>
          <t>Permitir continuar el trabajo mientras se genera y notificar al usuario cuando el resultado esté listo</t>
        </is>
      </c>
      <c r="M47" s="8" t="inlineStr">
        <is>
          <t>Christian Cuadra</t>
        </is>
      </c>
      <c r="N47" s="8" t="inlineStr">
        <is>
          <t>Sprint 4</t>
        </is>
      </c>
      <c r="O47" s="7" t="n">
        <v>2</v>
      </c>
      <c r="P47" s="7" t="n">
        <v>2</v>
      </c>
      <c r="Q47" s="7">
        <f>O47*P47</f>
        <v/>
      </c>
      <c r="R47" s="9">
        <f>IF(Q47="","",IF(Q47&lt;=5,"Bajo",IF(Q47&lt;=10,"Medio",IF(Q47&lt;=15,"Alto","Crítico"))))</f>
        <v/>
      </c>
      <c r="S47" s="8" t="inlineStr">
        <is>
          <t>En seguimiento</t>
        </is>
      </c>
    </row>
    <row r="48" ht="84" customHeight="1">
      <c r="A48" s="4" t="inlineStr">
        <is>
          <t>R-47</t>
        </is>
      </c>
      <c r="B48" s="5" t="inlineStr">
        <is>
          <t>Integraciones</t>
        </is>
      </c>
      <c r="C48" s="5" t="inlineStr">
        <is>
          <t>Cambios o restricciones en las APIs de Meta e Instagram</t>
        </is>
      </c>
      <c r="D48" s="5" t="inlineStr">
        <is>
          <t>Las políticas y versiones de la plataforma cambian sin aviso previo a los desarrolladores</t>
        </is>
      </c>
      <c r="E48" s="5" t="inlineStr">
        <is>
          <t>Dashboard de métricas sin datos o con información incompleta en el portal de clientes</t>
        </is>
      </c>
      <c r="F48" s="4" t="n">
        <v>3</v>
      </c>
      <c r="G48" s="4" t="n">
        <v>4</v>
      </c>
      <c r="H48" s="4">
        <f>F48*G48</f>
        <v/>
      </c>
      <c r="I48" s="6">
        <f>IF(H48="","",IF(H48&lt;=5,"Bajo",IF(H48&lt;=10,"Medio",IF(H48&lt;=15,"Alto","Crítico"))))</f>
        <v/>
      </c>
      <c r="J48" s="5" t="inlineStr">
        <is>
          <t>Mitigar</t>
        </is>
      </c>
      <c r="K48" s="5" t="inlineStr">
        <is>
          <t>Capa de abstracción que aísla al proveedor de métricas; versión de la API fijada explícitamente; revisión periódica del registro de cambios del proveedor</t>
        </is>
      </c>
      <c r="L48" s="5" t="inlineStr">
        <is>
          <t>Habilitar la carga manual de métricas mediante archivo CSV como respaldo temporal del dashboard</t>
        </is>
      </c>
      <c r="M48" s="5" t="inlineStr">
        <is>
          <t>Esteban Morales</t>
        </is>
      </c>
      <c r="N48" s="5" t="inlineStr">
        <is>
          <t>Sprint 4</t>
        </is>
      </c>
      <c r="O48" s="4" t="n">
        <v>2</v>
      </c>
      <c r="P48" s="4" t="n">
        <v>3</v>
      </c>
      <c r="Q48" s="4">
        <f>O48*P48</f>
        <v/>
      </c>
      <c r="R48" s="6">
        <f>IF(Q48="","",IF(Q48&lt;=5,"Bajo",IF(Q48&lt;=10,"Medio",IF(Q48&lt;=15,"Alto","Crítico"))))</f>
        <v/>
      </c>
      <c r="S48" s="5" t="inlineStr">
        <is>
          <t>Activo</t>
        </is>
      </c>
    </row>
    <row r="49" ht="84" customHeight="1">
      <c r="A49" s="7" t="inlineStr">
        <is>
          <t>R-48</t>
        </is>
      </c>
      <c r="B49" s="8" t="inlineStr">
        <is>
          <t>Integraciones</t>
        </is>
      </c>
      <c r="C49" s="8" t="inlineStr">
        <is>
          <t>Demora o rechazo en la aprobación de la aplicación ante Meta for Developers</t>
        </is>
      </c>
      <c r="D49" s="8" t="inlineStr">
        <is>
          <t>El proceso de revisión de permisos exige documentación y tiempos que no controla el equipo</t>
        </is>
      </c>
      <c r="E49" s="8" t="inlineStr">
        <is>
          <t>Imposibilidad de acceder a las métricas reales dentro del plazo del proyecto</t>
        </is>
      </c>
      <c r="F49" s="7" t="n">
        <v>3</v>
      </c>
      <c r="G49" s="7" t="n">
        <v>4</v>
      </c>
      <c r="H49" s="7">
        <f>F49*G49</f>
        <v/>
      </c>
      <c r="I49" s="9">
        <f>IF(H49="","",IF(H49&lt;=5,"Bajo",IF(H49&lt;=10,"Medio",IF(H49&lt;=15,"Alto","Crítico"))))</f>
        <v/>
      </c>
      <c r="J49" s="8" t="inlineStr">
        <is>
          <t>Mitigar</t>
        </is>
      </c>
      <c r="K49" s="8" t="inlineStr">
        <is>
          <t>Iniciar el trámite de permisos en el Sprint 1, muy antes de necesitarlos; usar cuentas de prueba del proveedor mientras se resuelve</t>
        </is>
      </c>
      <c r="L49" s="8" t="inlineStr">
        <is>
          <t>Demostrar el dashboard con datos cargados manualmente y documentar el estado del trámite en el informe final</t>
        </is>
      </c>
      <c r="M49" s="8" t="inlineStr">
        <is>
          <t>Esteban Morales</t>
        </is>
      </c>
      <c r="N49" s="8" t="inlineStr">
        <is>
          <t>Sprint 1 - Sprint 4</t>
        </is>
      </c>
      <c r="O49" s="7" t="n">
        <v>2</v>
      </c>
      <c r="P49" s="7" t="n">
        <v>3</v>
      </c>
      <c r="Q49" s="7">
        <f>O49*P49</f>
        <v/>
      </c>
      <c r="R49" s="9">
        <f>IF(Q49="","",IF(Q49&lt;=5,"Bajo",IF(Q49&lt;=10,"Medio",IF(Q49&lt;=15,"Alto","Crítico"))))</f>
        <v/>
      </c>
      <c r="S49" s="8" t="inlineStr">
        <is>
          <t>Activo</t>
        </is>
      </c>
    </row>
    <row r="50" ht="84" customHeight="1">
      <c r="A50" s="4" t="inlineStr">
        <is>
          <t>R-49</t>
        </is>
      </c>
      <c r="B50" s="5" t="inlineStr">
        <is>
          <t>Integraciones</t>
        </is>
      </c>
      <c r="C50" s="5" t="inlineStr">
        <is>
          <t>Correos de notificación no entregados o marcados como spam</t>
        </is>
      </c>
      <c r="D50" s="5" t="inlineStr">
        <is>
          <t>Dominio sin autenticación SPF y DKIM configurada en SendGrid</t>
        </is>
      </c>
      <c r="E50" s="5" t="inlineStr">
        <is>
          <t>Cotizaciones y avisos de aprobación que nunca llegan al destinatario</t>
        </is>
      </c>
      <c r="F50" s="4" t="n">
        <v>3</v>
      </c>
      <c r="G50" s="4" t="n">
        <v>3</v>
      </c>
      <c r="H50" s="4">
        <f>F50*G50</f>
        <v/>
      </c>
      <c r="I50" s="6">
        <f>IF(H50="","",IF(H50&lt;=5,"Bajo",IF(H50&lt;=10,"Medio",IF(H50&lt;=15,"Alto","Crítico"))))</f>
        <v/>
      </c>
      <c r="J50" s="5" t="inlineStr">
        <is>
          <t>Mitigar</t>
        </is>
      </c>
      <c r="K50" s="5" t="inlineStr">
        <is>
          <t>Configuración de SPF, DKIM y dominio verificado antes de habilitar el envío; monitoreo de la tasa de entrega; pruebas con distintos proveedores de correo</t>
        </is>
      </c>
      <c r="L50" s="5" t="inlineStr">
        <is>
          <t>Activar la notificación dentro de la plataforma como canal alternativo y reenviar manualmente lo no entregado</t>
        </is>
      </c>
      <c r="M50" s="5" t="inlineStr">
        <is>
          <t>Christian Cuadra</t>
        </is>
      </c>
      <c r="N50" s="5" t="inlineStr">
        <is>
          <t>Sprint 2 - Sprint 3</t>
        </is>
      </c>
      <c r="O50" s="4" t="n">
        <v>1</v>
      </c>
      <c r="P50" s="4" t="n">
        <v>3</v>
      </c>
      <c r="Q50" s="4">
        <f>O50*P50</f>
        <v/>
      </c>
      <c r="R50" s="6">
        <f>IF(Q50="","",IF(Q50&lt;=5,"Bajo",IF(Q50&lt;=10,"Medio",IF(Q50&lt;=15,"Alto","Crítico"))))</f>
        <v/>
      </c>
      <c r="S50" s="5" t="inlineStr">
        <is>
          <t>Activo</t>
        </is>
      </c>
    </row>
    <row r="51" ht="140" customHeight="1">
      <c r="A51" s="7" t="inlineStr">
        <is>
          <t>R-50</t>
        </is>
      </c>
      <c r="B51" s="8" t="inlineStr">
        <is>
          <t>Integraciones</t>
        </is>
      </c>
      <c r="C51" s="8" t="inlineStr">
        <is>
          <t>Límite de cuota alcanzado en los servicios externos</t>
        </is>
      </c>
      <c r="D51" s="8" t="inlineStr">
        <is>
          <t>Llamadas repetidas durante las pruebas o sincronizaciones demasiado frecuentes</t>
        </is>
      </c>
      <c r="E51" s="8" t="inlineStr">
        <is>
          <t>Funciones de métricas, correo o IA interrumpidas en medio de una demostración</t>
        </is>
      </c>
      <c r="F51" s="7" t="n">
        <v>3</v>
      </c>
      <c r="G51" s="7" t="n">
        <v>3</v>
      </c>
      <c r="H51" s="7">
        <f>F51*G51</f>
        <v/>
      </c>
      <c r="I51" s="9">
        <f>IF(H51="","",IF(H51&lt;=5,"Bajo",IF(H51&lt;=10,"Medio",IF(H51&lt;=15,"Alto","Crítico"))))</f>
        <v/>
      </c>
      <c r="J51" s="8" t="inlineStr">
        <is>
          <t>Mitigar</t>
        </is>
      </c>
      <c r="K51" s="8" t="inlineStr">
        <is>
          <t>Sincronización programada en lugar de bajo demanda; caché de resultados; monitoreo del consumo frente a las cuotas del plan Actualización 12 oct 2026: ante saturación de Google la IA reintenta sola; al llegar al límite de cuota no reintenta (cada intento descuenta de las solicitudes diarias) y avisa cuándo se renueva. Las pruebas automáticas nunca llaman a Gemini.</t>
        </is>
      </c>
      <c r="L51" s="8" t="inlineStr">
        <is>
          <t>Mostrar los últimos datos disponibles en caché indicando la fecha de actualización</t>
        </is>
      </c>
      <c r="M51" s="8" t="inlineStr">
        <is>
          <t>Christian Cuadra</t>
        </is>
      </c>
      <c r="N51" s="8" t="inlineStr">
        <is>
          <t>Sprint 4 - Sprint 5</t>
        </is>
      </c>
      <c r="O51" s="7" t="n">
        <v>2</v>
      </c>
      <c r="P51" s="7" t="n">
        <v>2</v>
      </c>
      <c r="Q51" s="7">
        <f>O51*P51</f>
        <v/>
      </c>
      <c r="R51" s="9">
        <f>IF(Q51="","",IF(Q51&lt;=5,"Bajo",IF(Q51&lt;=10,"Medio",IF(Q51&lt;=15,"Alto","Crítico"))))</f>
        <v/>
      </c>
      <c r="S51" s="8" t="inlineStr">
        <is>
          <t>En seguimiento</t>
        </is>
      </c>
    </row>
    <row r="52" ht="84" customHeight="1">
      <c r="A52" s="4" t="inlineStr">
        <is>
          <t>R-51</t>
        </is>
      </c>
      <c r="B52" s="5" t="inlineStr">
        <is>
          <t>Migración de datos</t>
        </is>
      </c>
      <c r="C52" s="5" t="inlineStr">
        <is>
          <t>Pérdida o inconsistencia de datos en la migración desde Notion</t>
        </is>
      </c>
      <c r="D52" s="5" t="inlineStr">
        <is>
          <t>La información histórica de la agencia está poco estructurada y sin formato homogéneo</t>
        </is>
      </c>
      <c r="E52" s="5" t="inlineStr">
        <is>
          <t>Clientes cargados sin su historial, obligando a recapturar información manualmente</t>
        </is>
      </c>
      <c r="F52" s="4" t="n">
        <v>3</v>
      </c>
      <c r="G52" s="4" t="n">
        <v>3</v>
      </c>
      <c r="H52" s="4">
        <f>F52*G52</f>
        <v/>
      </c>
      <c r="I52" s="6">
        <f>IF(H52="","",IF(H52&lt;=5,"Bajo",IF(H52&lt;=10,"Medio",IF(H52&lt;=15,"Alto","Crítico"))))</f>
        <v/>
      </c>
      <c r="J52" s="5" t="inlineStr">
        <is>
          <t>Mitigar</t>
        </is>
      </c>
      <c r="K52" s="5" t="inlineStr">
        <is>
          <t>Migración por etapas con respaldo previo del origen; script de migración reejecutable; validación por muestreo junto a la agencia antes de cerrar la carga</t>
        </is>
      </c>
      <c r="L52" s="5" t="inlineStr">
        <is>
          <t>Mantener Notion en modo solo lectura durante la marcha blanca como fuente de consulta</t>
        </is>
      </c>
      <c r="M52" s="5" t="inlineStr">
        <is>
          <t>Felipe Gutiérrez</t>
        </is>
      </c>
      <c r="N52" s="5" t="inlineStr">
        <is>
          <t>Sprint 1 - Sprint 2</t>
        </is>
      </c>
      <c r="O52" s="4" t="n">
        <v>2</v>
      </c>
      <c r="P52" s="4" t="n">
        <v>2</v>
      </c>
      <c r="Q52" s="4">
        <f>O52*P52</f>
        <v/>
      </c>
      <c r="R52" s="6">
        <f>IF(Q52="","",IF(Q52&lt;=5,"Bajo",IF(Q52&lt;=10,"Medio",IF(Q52&lt;=15,"Alto","Crítico"))))</f>
        <v/>
      </c>
      <c r="S52" s="5" t="inlineStr">
        <is>
          <t>Activo</t>
        </is>
      </c>
    </row>
    <row r="53" ht="84" customHeight="1">
      <c r="A53" s="7" t="inlineStr">
        <is>
          <t>R-52</t>
        </is>
      </c>
      <c r="B53" s="8" t="inlineStr">
        <is>
          <t>Usuario final</t>
        </is>
      </c>
      <c r="C53" s="8" t="inlineStr">
        <is>
          <t>Ingreso de datos en formatos o campos incorrectos</t>
        </is>
      </c>
      <c r="D53" s="8" t="inlineStr">
        <is>
          <t>Formularios sin validación suficiente y usuarios sin capacitación formal</t>
        </is>
      </c>
      <c r="E53" s="8" t="inlineStr">
        <is>
          <t>Información inconsistente que degrada los reportes y las métricas del sistema</t>
        </is>
      </c>
      <c r="F53" s="7" t="n">
        <v>4</v>
      </c>
      <c r="G53" s="7" t="n">
        <v>2</v>
      </c>
      <c r="H53" s="7">
        <f>F53*G53</f>
        <v/>
      </c>
      <c r="I53" s="9">
        <f>IF(H53="","",IF(H53&lt;=5,"Bajo",IF(H53&lt;=10,"Medio",IF(H53&lt;=15,"Alto","Crítico"))))</f>
        <v/>
      </c>
      <c r="J53" s="8" t="inlineStr">
        <is>
          <t>Mitigar</t>
        </is>
      </c>
      <c r="K53" s="8" t="inlineStr">
        <is>
          <t>Validación en el servidor y en el cliente; campos con formato guiado y ejemplos; listas desplegables en lugar de texto libre donde sea posible</t>
        </is>
      </c>
      <c r="L53" s="8" t="inlineStr">
        <is>
          <t>Corregir los registros afectados mediante el panel de administración y reforzar la validación del campo</t>
        </is>
      </c>
      <c r="M53" s="8" t="inlineStr">
        <is>
          <t>Esteban Morales</t>
        </is>
      </c>
      <c r="N53" s="8" t="inlineStr">
        <is>
          <t>Sprint 2 - Sprint 3</t>
        </is>
      </c>
      <c r="O53" s="7" t="n">
        <v>2</v>
      </c>
      <c r="P53" s="7" t="n">
        <v>2</v>
      </c>
      <c r="Q53" s="7">
        <f>O53*P53</f>
        <v/>
      </c>
      <c r="R53" s="9">
        <f>IF(Q53="","",IF(Q53&lt;=5,"Bajo",IF(Q53&lt;=10,"Medio",IF(Q53&lt;=15,"Alto","Crítico"))))</f>
        <v/>
      </c>
      <c r="S53" s="8" t="inlineStr">
        <is>
          <t>Activo</t>
        </is>
      </c>
    </row>
    <row r="54" ht="84" customHeight="1">
      <c r="A54" s="4" t="inlineStr">
        <is>
          <t>R-53</t>
        </is>
      </c>
      <c r="B54" s="5" t="inlineStr">
        <is>
          <t>Usuario final</t>
        </is>
      </c>
      <c r="C54" s="5" t="inlineStr">
        <is>
          <t>Eliminación accidental de una publicación, cotización o cliente</t>
        </is>
      </c>
      <c r="D54" s="5" t="inlineStr">
        <is>
          <t>Acciones destructivas disponibles sin confirmación ni posibilidad de recuperación</t>
        </is>
      </c>
      <c r="E54" s="5" t="inlineStr">
        <is>
          <t>Pérdida de información de trabajo sin respaldo inmediato disponible</t>
        </is>
      </c>
      <c r="F54" s="4" t="n">
        <v>3</v>
      </c>
      <c r="G54" s="4" t="n">
        <v>4</v>
      </c>
      <c r="H54" s="4">
        <f>F54*G54</f>
        <v/>
      </c>
      <c r="I54" s="6">
        <f>IF(H54="","",IF(H54&lt;=5,"Bajo",IF(H54&lt;=10,"Medio",IF(H54&lt;=15,"Alto","Crítico"))))</f>
        <v/>
      </c>
      <c r="J54" s="5" t="inlineStr">
        <is>
          <t>Evitar</t>
        </is>
      </c>
      <c r="K54" s="5" t="inlineStr">
        <is>
          <t>Eliminación lógica en lugar de física; diálogo de confirmación en toda acción destructiva; papelera con recuperación disponible para el administrador</t>
        </is>
      </c>
      <c r="L54" s="5" t="inlineStr">
        <is>
          <t>Restaurar el registro desde la eliminación lógica o desde el respaldo diario de la base de datos</t>
        </is>
      </c>
      <c r="M54" s="5" t="inlineStr">
        <is>
          <t>Felipe Gutiérrez</t>
        </is>
      </c>
      <c r="N54" s="5" t="inlineStr">
        <is>
          <t>Sprint 2 - Sprint 3</t>
        </is>
      </c>
      <c r="O54" s="4" t="n">
        <v>1</v>
      </c>
      <c r="P54" s="4" t="n">
        <v>3</v>
      </c>
      <c r="Q54" s="4">
        <f>O54*P54</f>
        <v/>
      </c>
      <c r="R54" s="6">
        <f>IF(Q54="","",IF(Q54&lt;=5,"Bajo",IF(Q54&lt;=10,"Medio",IF(Q54&lt;=15,"Alto","Crítico"))))</f>
        <v/>
      </c>
      <c r="S54" s="5" t="inlineStr">
        <is>
          <t>Activo</t>
        </is>
      </c>
    </row>
    <row r="55" ht="84" customHeight="1">
      <c r="A55" s="7" t="inlineStr">
        <is>
          <t>R-54</t>
        </is>
      </c>
      <c r="B55" s="8" t="inlineStr">
        <is>
          <t>Usuario final</t>
        </is>
      </c>
      <c r="C55" s="8" t="inlineStr">
        <is>
          <t>Aprobación de contenido por error, sin revisarlo</t>
        </is>
      </c>
      <c r="D55" s="8" t="inlineStr">
        <is>
          <t>Botón de aprobación accesible sin una vista previa obligatoria del contenido completo</t>
        </is>
      </c>
      <c r="E55" s="8" t="inlineStr">
        <is>
          <t>Publicación de contenido no revisado en las redes sociales de un cliente</t>
        </is>
      </c>
      <c r="F55" s="7" t="n">
        <v>3</v>
      </c>
      <c r="G55" s="7" t="n">
        <v>3</v>
      </c>
      <c r="H55" s="7">
        <f>F55*G55</f>
        <v/>
      </c>
      <c r="I55" s="9">
        <f>IF(H55="","",IF(H55&lt;=5,"Bajo",IF(H55&lt;=10,"Medio",IF(H55&lt;=15,"Alto","Crítico"))))</f>
        <v/>
      </c>
      <c r="J55" s="8" t="inlineStr">
        <is>
          <t>Mitigar</t>
        </is>
      </c>
      <c r="K55" s="8" t="inlineStr">
        <is>
          <t>Vista previa obligatoria antes de habilitar la aprobación; confirmación explícita; ventana de reversión antes de que el contenido pase a publicado</t>
        </is>
      </c>
      <c r="L55" s="8" t="inlineStr">
        <is>
          <t>Revertir el estado de la publicación y notificar al equipo de la agencia antes de su publicación efectiva</t>
        </is>
      </c>
      <c r="M55" s="8" t="inlineStr">
        <is>
          <t>Esteban Morales</t>
        </is>
      </c>
      <c r="N55" s="8" t="inlineStr">
        <is>
          <t>Sprint 3</t>
        </is>
      </c>
      <c r="O55" s="7" t="n">
        <v>1</v>
      </c>
      <c r="P55" s="7" t="n">
        <v>3</v>
      </c>
      <c r="Q55" s="7">
        <f>O55*P55</f>
        <v/>
      </c>
      <c r="R55" s="9">
        <f>IF(Q55="","",IF(Q55&lt;=5,"Bajo",IF(Q55&lt;=10,"Medio",IF(Q55&lt;=15,"Alto","Crítico"))))</f>
        <v/>
      </c>
      <c r="S55" s="8" t="inlineStr">
        <is>
          <t>Activo</t>
        </is>
      </c>
    </row>
    <row r="56" ht="84" customHeight="1">
      <c r="A56" s="4" t="inlineStr">
        <is>
          <t>R-55</t>
        </is>
      </c>
      <c r="B56" s="5" t="inlineStr">
        <is>
          <t>Usuario final</t>
        </is>
      </c>
      <c r="C56" s="5" t="inlineStr">
        <is>
          <t>Los socios de la agencia no adoptan la plataforma y siguen operando en sus herramientas actuales</t>
        </is>
      </c>
      <c r="D56" s="5" t="inlineStr">
        <is>
          <t>Costumbre de trabajo en Notion y planillas, sumada a la resistencia natural al cambio</t>
        </is>
      </c>
      <c r="E56" s="5" t="inlineStr">
        <is>
          <t>La plataforma queda sin uso real y no se evidencia el cumplimiento del objetivo general</t>
        </is>
      </c>
      <c r="F56" s="4" t="n">
        <v>3</v>
      </c>
      <c r="G56" s="4" t="n">
        <v>5</v>
      </c>
      <c r="H56" s="4">
        <f>F56*G56</f>
        <v/>
      </c>
      <c r="I56" s="6">
        <f>IF(H56="","",IF(H56&lt;=5,"Bajo",IF(H56&lt;=10,"Medio",IF(H56&lt;=15,"Alto","Crítico"))))</f>
        <v/>
      </c>
      <c r="J56" s="5" t="inlineStr">
        <is>
          <t>Mitigar</t>
        </is>
      </c>
      <c r="K56" s="5" t="inlineStr">
        <is>
          <t>Involucrar a los socios en las validaciones de cada sprint; migrar sus datos reales para que el sistema sea desde el inicio la fuente única; capacitación y manual de administración entregados antes de la marcha blanca</t>
        </is>
      </c>
      <c r="L56" s="5" t="inlineStr">
        <is>
          <t>Acordar una marcha blanca acotada a un proceso completo (por ejemplo, cotizaciones) para evidenciar el uso real</t>
        </is>
      </c>
      <c r="M56" s="5" t="inlineStr">
        <is>
          <t>Felipe Gutiérrez</t>
        </is>
      </c>
      <c r="N56" s="5" t="inlineStr">
        <is>
          <t>Sprint 3 - Sprint 5</t>
        </is>
      </c>
      <c r="O56" s="4" t="n">
        <v>2</v>
      </c>
      <c r="P56" s="4" t="n">
        <v>4</v>
      </c>
      <c r="Q56" s="4">
        <f>O56*P56</f>
        <v/>
      </c>
      <c r="R56" s="6">
        <f>IF(Q56="","",IF(Q56&lt;=5,"Bajo",IF(Q56&lt;=10,"Medio",IF(Q56&lt;=15,"Alto","Crítico"))))</f>
        <v/>
      </c>
      <c r="S56" s="5" t="inlineStr">
        <is>
          <t>Activo</t>
        </is>
      </c>
    </row>
    <row r="57" ht="84" customHeight="1">
      <c r="A57" s="7" t="inlineStr">
        <is>
          <t>R-56</t>
        </is>
      </c>
      <c r="B57" s="8" t="inlineStr">
        <is>
          <t>Usuario final</t>
        </is>
      </c>
      <c r="C57" s="8" t="inlineStr">
        <is>
          <t>Credenciales compartidas entre varios usuarios de un mismo cliente</t>
        </is>
      </c>
      <c r="D57" s="8" t="inlineStr">
        <is>
          <t>Comodidad del cliente al usar una sola cuenta para todo su equipo</t>
        </is>
      </c>
      <c r="E57" s="8" t="inlineStr">
        <is>
          <t>Pérdida de trazabilidad de quién aprobó cada contenido y riesgo de accesos indebidos</t>
        </is>
      </c>
      <c r="F57" s="7" t="n">
        <v>3</v>
      </c>
      <c r="G57" s="7" t="n">
        <v>3</v>
      </c>
      <c r="H57" s="7">
        <f>F57*G57</f>
        <v/>
      </c>
      <c r="I57" s="9">
        <f>IF(H57="","",IF(H57&lt;=5,"Bajo",IF(H57&lt;=10,"Medio",IF(H57&lt;=15,"Alto","Crítico"))))</f>
        <v/>
      </c>
      <c r="J57" s="8" t="inlineStr">
        <is>
          <t>Mitigar</t>
        </is>
      </c>
      <c r="K57" s="8" t="inlineStr">
        <is>
          <t>Creación de usuarios individuales por cliente sin costo adicional; bitácora por usuario visible; advertencia en el manual sobre el uso compartido de credenciales</t>
        </is>
      </c>
      <c r="L57" s="8" t="inlineStr">
        <is>
          <t>Crear las cuentas individuales faltantes y forzar el cambio de la contraseña compartida</t>
        </is>
      </c>
      <c r="M57" s="8" t="inlineStr">
        <is>
          <t>Felipe Gutiérrez</t>
        </is>
      </c>
      <c r="N57" s="8" t="inlineStr">
        <is>
          <t>Sprint 3 - Sprint 4</t>
        </is>
      </c>
      <c r="O57" s="7" t="n">
        <v>2</v>
      </c>
      <c r="P57" s="7" t="n">
        <v>2</v>
      </c>
      <c r="Q57" s="7">
        <f>O57*P57</f>
        <v/>
      </c>
      <c r="R57" s="9">
        <f>IF(Q57="","",IF(Q57&lt;=5,"Bajo",IF(Q57&lt;=10,"Medio",IF(Q57&lt;=15,"Alto","Crítico"))))</f>
        <v/>
      </c>
      <c r="S57" s="8" t="inlineStr">
        <is>
          <t>Activo</t>
        </is>
      </c>
    </row>
    <row r="58" ht="84" customHeight="1">
      <c r="A58" s="4" t="inlineStr">
        <is>
          <t>R-57</t>
        </is>
      </c>
      <c r="B58" s="5" t="inlineStr">
        <is>
          <t>Usuario final</t>
        </is>
      </c>
      <c r="C58" s="5" t="inlineStr">
        <is>
          <t>Consultas y soporte constantes por falta de capacitación</t>
        </is>
      </c>
      <c r="D58" s="5" t="inlineStr">
        <is>
          <t>Usuarios que reciben acceso sin una inducción previa al sistema</t>
        </is>
      </c>
      <c r="E58" s="5" t="inlineStr">
        <is>
          <t>El equipo destina horas de desarrollo a resolver dudas de operación</t>
        </is>
      </c>
      <c r="F58" s="4" t="n">
        <v>4</v>
      </c>
      <c r="G58" s="4" t="n">
        <v>2</v>
      </c>
      <c r="H58" s="4">
        <f>F58*G58</f>
        <v/>
      </c>
      <c r="I58" s="6">
        <f>IF(H58="","",IF(H58&lt;=5,"Bajo",IF(H58&lt;=10,"Medio",IF(H58&lt;=15,"Alto","Crítico"))))</f>
        <v/>
      </c>
      <c r="J58" s="5" t="inlineStr">
        <is>
          <t>Mitigar</t>
        </is>
      </c>
      <c r="K58" s="5" t="inlineStr">
        <is>
          <t>Manual de administración y manual de usuario entregados antes de habilitar el acceso; sesión de inducción grabada; ayudas contextuales dentro de la interfaz</t>
        </is>
      </c>
      <c r="L58" s="5" t="inlineStr">
        <is>
          <t>Agendar una sesión de refuerzo única y agregar las dudas recurrentes a una sección de preguntas frecuentes</t>
        </is>
      </c>
      <c r="M58" s="5" t="inlineStr">
        <is>
          <t>Christian Cuadra</t>
        </is>
      </c>
      <c r="N58" s="5" t="inlineStr">
        <is>
          <t>Sprint 4 - Sprint 5</t>
        </is>
      </c>
      <c r="O58" s="4" t="n">
        <v>2</v>
      </c>
      <c r="P58" s="4" t="n">
        <v>2</v>
      </c>
      <c r="Q58" s="4">
        <f>O58*P58</f>
        <v/>
      </c>
      <c r="R58" s="6">
        <f>IF(Q58="","",IF(Q58&lt;=5,"Bajo",IF(Q58&lt;=10,"Medio",IF(Q58&lt;=15,"Alto","Crítico"))))</f>
        <v/>
      </c>
      <c r="S58" s="5" t="inlineStr">
        <is>
          <t>Activo</t>
        </is>
      </c>
    </row>
    <row r="59" ht="84" customHeight="1">
      <c r="A59" s="7" t="inlineStr">
        <is>
          <t>R-58</t>
        </is>
      </c>
      <c r="B59" s="8" t="inlineStr">
        <is>
          <t>Usuario final</t>
        </is>
      </c>
      <c r="C59" s="8" t="inlineStr">
        <is>
          <t>Carga duplicada de prospectos o clientes</t>
        </is>
      </c>
      <c r="D59" s="8" t="inlineStr">
        <is>
          <t>Ausencia de validación por correo o RUT al momento de crear el registro</t>
        </is>
      </c>
      <c r="E59" s="8" t="inlineStr">
        <is>
          <t>Métricas comerciales distorsionadas y contactos duplicados hacia un mismo prospecto</t>
        </is>
      </c>
      <c r="F59" s="7" t="n">
        <v>3</v>
      </c>
      <c r="G59" s="7" t="n">
        <v>2</v>
      </c>
      <c r="H59" s="7">
        <f>F59*G59</f>
        <v/>
      </c>
      <c r="I59" s="9">
        <f>IF(H59="","",IF(H59&lt;=5,"Bajo",IF(H59&lt;=10,"Medio",IF(H59&lt;=15,"Alto","Crítico"))))</f>
        <v/>
      </c>
      <c r="J59" s="8" t="inlineStr">
        <is>
          <t>Mitigar</t>
        </is>
      </c>
      <c r="K59" s="8" t="inlineStr">
        <is>
          <t>Validación de unicidad por correo y RUT; alerta de posible duplicado antes de guardar; utilidad de fusión de registros en el panel de administración</t>
        </is>
      </c>
      <c r="L59" s="8" t="inlineStr">
        <is>
          <t>Fusionar los registros duplicados y recalcular las métricas del período afectado</t>
        </is>
      </c>
      <c r="M59" s="8" t="inlineStr">
        <is>
          <t>Esteban Morales</t>
        </is>
      </c>
      <c r="N59" s="8" t="inlineStr">
        <is>
          <t>Sprint 2</t>
        </is>
      </c>
      <c r="O59" s="7" t="n">
        <v>1</v>
      </c>
      <c r="P59" s="7" t="n">
        <v>2</v>
      </c>
      <c r="Q59" s="7">
        <f>O59*P59</f>
        <v/>
      </c>
      <c r="R59" s="9">
        <f>IF(Q59="","",IF(Q59&lt;=5,"Bajo",IF(Q59&lt;=10,"Medio",IF(Q59&lt;=15,"Alto","Crítico"))))</f>
        <v/>
      </c>
      <c r="S59" s="8" t="inlineStr">
        <is>
          <t>Activo</t>
        </is>
      </c>
    </row>
    <row r="60" ht="84" customHeight="1">
      <c r="A60" s="4" t="inlineStr">
        <is>
          <t>R-59</t>
        </is>
      </c>
      <c r="B60" s="5" t="inlineStr">
        <is>
          <t>Usuario final</t>
        </is>
      </c>
      <c r="C60" s="5" t="inlineStr">
        <is>
          <t>Carga de archivos de tamaño excesivo en el módulo de contenido</t>
        </is>
      </c>
      <c r="D60" s="5" t="inlineStr">
        <is>
          <t>Los usuarios suben material gráfico sin comprimir directamente desde su cámara</t>
        </is>
      </c>
      <c r="E60" s="5" t="inlineStr">
        <is>
          <t>Saturación del almacenamiento, mayores costos y lentitud en la carga del portal</t>
        </is>
      </c>
      <c r="F60" s="4" t="n">
        <v>2</v>
      </c>
      <c r="G60" s="4" t="n">
        <v>2</v>
      </c>
      <c r="H60" s="4">
        <f>F60*G60</f>
        <v/>
      </c>
      <c r="I60" s="6">
        <f>IF(H60="","",IF(H60&lt;=5,"Bajo",IF(H60&lt;=10,"Medio",IF(H60&lt;=15,"Alto","Crítico"))))</f>
        <v/>
      </c>
      <c r="J60" s="5" t="inlineStr">
        <is>
          <t>Mitigar</t>
        </is>
      </c>
      <c r="K60" s="5" t="inlineStr">
        <is>
          <t>Límite de tamaño por archivo validado en el servidor; compresión automática de imágenes al subirlas; aviso claro del límite en la interfaz</t>
        </is>
      </c>
      <c r="L60" s="5" t="inlineStr">
        <is>
          <t>Depurar los archivos más pesados y recomprimir el material histórico almacenado</t>
        </is>
      </c>
      <c r="M60" s="5" t="inlineStr">
        <is>
          <t>Christian Cuadra</t>
        </is>
      </c>
      <c r="N60" s="5" t="inlineStr">
        <is>
          <t>Sprint 3</t>
        </is>
      </c>
      <c r="O60" s="4" t="n">
        <v>1</v>
      </c>
      <c r="P60" s="4" t="n">
        <v>2</v>
      </c>
      <c r="Q60" s="4">
        <f>O60*P60</f>
        <v/>
      </c>
      <c r="R60" s="6">
        <f>IF(Q60="","",IF(Q60&lt;=5,"Bajo",IF(Q60&lt;=10,"Medio",IF(Q60&lt;=15,"Alto","Crítico"))))</f>
        <v/>
      </c>
      <c r="S60" s="5" t="inlineStr">
        <is>
          <t>Activo</t>
        </is>
      </c>
    </row>
    <row r="61" ht="84" customHeight="1">
      <c r="A61" s="7" t="inlineStr">
        <is>
          <t>R-60</t>
        </is>
      </c>
      <c r="B61" s="8" t="inlineStr">
        <is>
          <t>Usuario final</t>
        </is>
      </c>
      <c r="C61" s="8" t="inlineStr">
        <is>
          <t>Uso de navegadores desactualizados o no soportados</t>
        </is>
      </c>
      <c r="D61" s="8" t="inlineStr">
        <is>
          <t>Equipos de la agencia o de sus clientes con software sin actualizar</t>
        </is>
      </c>
      <c r="E61" s="8" t="inlineStr">
        <is>
          <t>Funcionalidades que no operan correctamente para determinados usuarios</t>
        </is>
      </c>
      <c r="F61" s="7" t="n">
        <v>2</v>
      </c>
      <c r="G61" s="7" t="n">
        <v>2</v>
      </c>
      <c r="H61" s="7">
        <f>F61*G61</f>
        <v/>
      </c>
      <c r="I61" s="9">
        <f>IF(H61="","",IF(H61&lt;=5,"Bajo",IF(H61&lt;=10,"Medio",IF(H61&lt;=15,"Alto","Crítico"))))</f>
        <v/>
      </c>
      <c r="J61" s="8" t="inlineStr">
        <is>
          <t>Aceptar</t>
        </is>
      </c>
      <c r="K61" s="8" t="inlineStr">
        <is>
          <t>Definición explícita de los navegadores soportados en el manual; aviso en la interfaz cuando se detecte un navegador no soportado; uso de funcionalidades ampliamente compatibles</t>
        </is>
      </c>
      <c r="L61" s="8" t="inlineStr">
        <is>
          <t>Indicar al usuario el navegador soportado y verificar el caso en una sesión de soporte</t>
        </is>
      </c>
      <c r="M61" s="8" t="inlineStr">
        <is>
          <t>Esteban Morales</t>
        </is>
      </c>
      <c r="N61" s="8" t="inlineStr">
        <is>
          <t>Sprint 3 - Sprint 5</t>
        </is>
      </c>
      <c r="O61" s="7" t="n">
        <v>1</v>
      </c>
      <c r="P61" s="7" t="n">
        <v>2</v>
      </c>
      <c r="Q61" s="7">
        <f>O61*P61</f>
        <v/>
      </c>
      <c r="R61" s="9">
        <f>IF(Q61="","",IF(Q61&lt;=5,"Bajo",IF(Q61&lt;=10,"Medio",IF(Q61&lt;=15,"Alto","Crítico"))))</f>
        <v/>
      </c>
      <c r="S61" s="8" t="inlineStr">
        <is>
          <t>Activo</t>
        </is>
      </c>
    </row>
    <row r="62" ht="84" customHeight="1">
      <c r="A62" s="4" t="inlineStr">
        <is>
          <t>R-61</t>
        </is>
      </c>
      <c r="B62" s="5" t="inlineStr">
        <is>
          <t>Calidad</t>
        </is>
      </c>
      <c r="C62" s="5" t="inlineStr">
        <is>
          <t>Pruebas insuficientes por concentrarse al final del proyecto</t>
        </is>
      </c>
      <c r="D62" s="5" t="inlineStr">
        <is>
          <t>Presión de tiempo en los últimos sprints y foco en completar funcionalidades</t>
        </is>
      </c>
      <c r="E62" s="5" t="inlineStr">
        <is>
          <t>Defectos detectados durante la demostración final ante el docente</t>
        </is>
      </c>
      <c r="F62" s="4" t="n">
        <v>3</v>
      </c>
      <c r="G62" s="4" t="n">
        <v>4</v>
      </c>
      <c r="H62" s="4">
        <f>F62*G62</f>
        <v/>
      </c>
      <c r="I62" s="6">
        <f>IF(H62="","",IF(H62&lt;=5,"Bajo",IF(H62&lt;=10,"Medio",IF(H62&lt;=15,"Alto","Crítico"))))</f>
        <v/>
      </c>
      <c r="J62" s="5" t="inlineStr">
        <is>
          <t>Mitigar</t>
        </is>
      </c>
      <c r="K62" s="5" t="inlineStr">
        <is>
          <t>Ejecución de pruebas dentro de cada sprint según el plan de pruebas; criterios de aceptación definidos por historia de usuario; pruebas de aislamiento de datos automatizadas</t>
        </is>
      </c>
      <c r="L62" s="5" t="inlineStr">
        <is>
          <t>Congelar funcionalidades una semana antes de la entrega y destinar ese período exclusivamente a corrección de defectos</t>
        </is>
      </c>
      <c r="M62" s="5" t="inlineStr">
        <is>
          <t>Christian Cuadra</t>
        </is>
      </c>
      <c r="N62" s="5" t="inlineStr">
        <is>
          <t>Sprint 1 - Sprint 5</t>
        </is>
      </c>
      <c r="O62" s="4" t="n">
        <v>2</v>
      </c>
      <c r="P62" s="4" t="n">
        <v>3</v>
      </c>
      <c r="Q62" s="4">
        <f>O62*P62</f>
        <v/>
      </c>
      <c r="R62" s="6">
        <f>IF(Q62="","",IF(Q62&lt;=5,"Bajo",IF(Q62&lt;=10,"Medio",IF(Q62&lt;=15,"Alto","Crítico"))))</f>
        <v/>
      </c>
      <c r="S62" s="5" t="inlineStr">
        <is>
          <t>Activo</t>
        </is>
      </c>
    </row>
    <row r="63" ht="84" customHeight="1">
      <c r="A63" s="7" t="inlineStr">
        <is>
          <t>R-62</t>
        </is>
      </c>
      <c r="B63" s="8" t="inlineStr">
        <is>
          <t>Calidad</t>
        </is>
      </c>
      <c r="C63" s="8" t="inlineStr">
        <is>
          <t>Ausencia de datos de prueba realistas</t>
        </is>
      </c>
      <c r="D63" s="8" t="inlineStr">
        <is>
          <t>Pruebas realizadas con pocos registros creados manualmente</t>
        </is>
      </c>
      <c r="E63" s="8" t="inlineStr">
        <is>
          <t>Errores de volumen, formato y casos límite que solo aparecen en uso real</t>
        </is>
      </c>
      <c r="F63" s="7" t="n">
        <v>3</v>
      </c>
      <c r="G63" s="7" t="n">
        <v>3</v>
      </c>
      <c r="H63" s="7">
        <f>F63*G63</f>
        <v/>
      </c>
      <c r="I63" s="9">
        <f>IF(H63="","",IF(H63&lt;=5,"Bajo",IF(H63&lt;=10,"Medio",IF(H63&lt;=15,"Alto","Crítico"))))</f>
        <v/>
      </c>
      <c r="J63" s="8" t="inlineStr">
        <is>
          <t>Mitigar</t>
        </is>
      </c>
      <c r="K63" s="8" t="inlineStr">
        <is>
          <t>Generador de datos de prueba con volúmenes y casos límite representativos; inclusión de caracteres especiales y textos extensos en los casos de prueba</t>
        </is>
      </c>
      <c r="L63" s="8" t="inlineStr">
        <is>
          <t>Ejecutar una batería de pruebas con datos reales anonimizados antes de la entrega final</t>
        </is>
      </c>
      <c r="M63" s="8" t="inlineStr">
        <is>
          <t>Christian Cuadra</t>
        </is>
      </c>
      <c r="N63" s="8" t="inlineStr">
        <is>
          <t>Sprint 2 - Sprint 5</t>
        </is>
      </c>
      <c r="O63" s="7" t="n">
        <v>2</v>
      </c>
      <c r="P63" s="7" t="n">
        <v>2</v>
      </c>
      <c r="Q63" s="7">
        <f>O63*P63</f>
        <v/>
      </c>
      <c r="R63" s="9">
        <f>IF(Q63="","",IF(Q63&lt;=5,"Bajo",IF(Q63&lt;=10,"Medio",IF(Q63&lt;=15,"Alto","Crítico"))))</f>
        <v/>
      </c>
      <c r="S63" s="8" t="inlineStr">
        <is>
          <t>Activo</t>
        </is>
      </c>
    </row>
    <row r="64" ht="84" customHeight="1">
      <c r="A64" s="4" t="inlineStr">
        <is>
          <t>R-63</t>
        </is>
      </c>
      <c r="B64" s="5" t="inlineStr">
        <is>
          <t>Calidad</t>
        </is>
      </c>
      <c r="C64" s="5" t="inlineStr">
        <is>
          <t>Falla durante la presentación final por falta de ensayo</t>
        </is>
      </c>
      <c r="D64" s="5" t="inlineStr">
        <is>
          <t>El flujo de demostración nunca se ejecuta completo antes del día de la entrega</t>
        </is>
      </c>
      <c r="E64" s="5" t="inlineStr">
        <is>
          <t>Impresión negativa ante el docente pese a contar con un sistema funcional</t>
        </is>
      </c>
      <c r="F64" s="4" t="n">
        <v>3</v>
      </c>
      <c r="G64" s="4" t="n">
        <v>4</v>
      </c>
      <c r="H64" s="4">
        <f>F64*G64</f>
        <v/>
      </c>
      <c r="I64" s="6">
        <f>IF(H64="","",IF(H64&lt;=5,"Bajo",IF(H64&lt;=10,"Medio",IF(H64&lt;=15,"Alto","Crítico"))))</f>
        <v/>
      </c>
      <c r="J64" s="5" t="inlineStr">
        <is>
          <t>Evitar</t>
        </is>
      </c>
      <c r="K64" s="5" t="inlineStr">
        <is>
          <t>Guion de demostración escrito y ensayado al menos dos veces; datos de demostración preparados con anticipación; revisión del ambiente el día previo</t>
        </is>
      </c>
      <c r="L64" s="5" t="inlineStr">
        <is>
          <t>Continuar con el video de respaldo de la demostración y explicar el flujo sobre él</t>
        </is>
      </c>
      <c r="M64" s="5" t="inlineStr">
        <is>
          <t>Felipe Gutiérrez</t>
        </is>
      </c>
      <c r="N64" s="5" t="inlineStr">
        <is>
          <t>Sprint 5</t>
        </is>
      </c>
      <c r="O64" s="4" t="n">
        <v>1</v>
      </c>
      <c r="P64" s="4" t="n">
        <v>3</v>
      </c>
      <c r="Q64" s="4">
        <f>O64*P64</f>
        <v/>
      </c>
      <c r="R64" s="6">
        <f>IF(Q64="","",IF(Q64&lt;=5,"Bajo",IF(Q64&lt;=10,"Medio",IF(Q64&lt;=15,"Alto","Crítico"))))</f>
        <v/>
      </c>
      <c r="S64" s="5" t="inlineStr">
        <is>
          <t>Activo</t>
        </is>
      </c>
    </row>
    <row r="65" ht="84" customHeight="1">
      <c r="A65" s="7" t="inlineStr">
        <is>
          <t>R-64</t>
        </is>
      </c>
      <c r="B65" s="8" t="inlineStr">
        <is>
          <t>Costos</t>
        </is>
      </c>
      <c r="C65" s="8" t="inlineStr">
        <is>
          <t>Costos de Google Cloud y Gemini superiores a lo presupuestado</t>
        </is>
      </c>
      <c r="D65" s="8" t="inlineStr">
        <is>
          <t>Consumo no controlado durante las pruebas o llamadas repetidas al modelo de IA</t>
        </is>
      </c>
      <c r="E65" s="8" t="inlineStr">
        <is>
          <t>Imposibilidad de mantener el ambiente desplegado hasta la entrega final</t>
        </is>
      </c>
      <c r="F65" s="7" t="n">
        <v>3</v>
      </c>
      <c r="G65" s="7" t="n">
        <v>4</v>
      </c>
      <c r="H65" s="7">
        <f>F65*G65</f>
        <v/>
      </c>
      <c r="I65" s="9">
        <f>IF(H65="","",IF(H65&lt;=5,"Bajo",IF(H65&lt;=10,"Medio",IF(H65&lt;=15,"Alto","Crítico"))))</f>
        <v/>
      </c>
      <c r="J65" s="8" t="inlineStr">
        <is>
          <t>Mitigar</t>
        </is>
      </c>
      <c r="K65" s="8" t="inlineStr">
        <is>
          <t>Presupuesto y alertas de facturación configuradas en Google Cloud; cuotas por servicio; uso de la capa gratuita; ambientes apagados fuera de los períodos de trabajo; caché de las respuestas de IA</t>
        </is>
      </c>
      <c r="L65" s="8" t="inlineStr">
        <is>
          <t>Trasladar el ambiente de pruebas a emuladores locales y mantener en la nube solo la instancia de demostración</t>
        </is>
      </c>
      <c r="M65" s="8" t="inlineStr">
        <is>
          <t>Christian Cuadra</t>
        </is>
      </c>
      <c r="N65" s="8" t="inlineStr">
        <is>
          <t>Sprint 1 - Sprint 5</t>
        </is>
      </c>
      <c r="O65" s="7" t="n">
        <v>2</v>
      </c>
      <c r="P65" s="7" t="n">
        <v>3</v>
      </c>
      <c r="Q65" s="7">
        <f>O65*P65</f>
        <v/>
      </c>
      <c r="R65" s="9">
        <f>IF(Q65="","",IF(Q65&lt;=5,"Bajo",IF(Q65&lt;=10,"Medio",IF(Q65&lt;=15,"Alto","Crítico"))))</f>
        <v/>
      </c>
      <c r="S65" s="8" t="inlineStr">
        <is>
          <t>Activo</t>
        </is>
      </c>
    </row>
    <row r="66" ht="84" customHeight="1">
      <c r="A66" s="4" t="inlineStr">
        <is>
          <t>R-65</t>
        </is>
      </c>
      <c r="B66" s="5" t="inlineStr">
        <is>
          <t>Costos</t>
        </is>
      </c>
      <c r="C66" s="5" t="inlineStr">
        <is>
          <t>Vencimiento de los créditos gratuitos antes del cierre del proyecto</t>
        </is>
      </c>
      <c r="D66" s="5" t="inlineStr">
        <is>
          <t>Los créditos de prueba de Google Cloud tienen una vigencia limitada en el tiempo</t>
        </is>
      </c>
      <c r="E66" s="5" t="inlineStr">
        <is>
          <t>Suspensión del ambiente desplegado en las semanas finales del Capstone</t>
        </is>
      </c>
      <c r="F66" s="4" t="n">
        <v>3</v>
      </c>
      <c r="G66" s="4" t="n">
        <v>3</v>
      </c>
      <c r="H66" s="4">
        <f>F66*G66</f>
        <v/>
      </c>
      <c r="I66" s="6">
        <f>IF(H66="","",IF(H66&lt;=5,"Bajo",IF(H66&lt;=10,"Medio",IF(H66&lt;=15,"Alto","Crítico"))))</f>
        <v/>
      </c>
      <c r="J66" s="5" t="inlineStr">
        <is>
          <t>Mitigar</t>
        </is>
      </c>
      <c r="K66" s="5" t="inlineStr">
        <is>
          <t>Registro de la fecha de vencimiento desde el Sprint 0; monitoreo mensual del saldo; dimensionamiento de los servicios al mínimo necesario</t>
        </is>
      </c>
      <c r="L66" s="5" t="inlineStr">
        <is>
          <t>Migrar el ambiente al nivel gratuito permanente de los servicios o asumir el costo acotado del período final</t>
        </is>
      </c>
      <c r="M66" s="5" t="inlineStr">
        <is>
          <t>Christian Cuadra</t>
        </is>
      </c>
      <c r="N66" s="5" t="inlineStr">
        <is>
          <t>Sprint 0 - Sprint 5</t>
        </is>
      </c>
      <c r="O66" s="4" t="n">
        <v>2</v>
      </c>
      <c r="P66" s="4" t="n">
        <v>2</v>
      </c>
      <c r="Q66" s="4">
        <f>O66*P66</f>
        <v/>
      </c>
      <c r="R66" s="6">
        <f>IF(Q66="","",IF(Q66&lt;=5,"Bajo",IF(Q66&lt;=10,"Medio",IF(Q66&lt;=15,"Alto","Crítico"))))</f>
        <v/>
      </c>
      <c r="S66" s="5" t="inlineStr">
        <is>
          <t>Activo</t>
        </is>
      </c>
    </row>
    <row r="67" ht="84" customHeight="1">
      <c r="A67" s="7" t="inlineStr">
        <is>
          <t>R-66</t>
        </is>
      </c>
      <c r="B67" s="8" t="inlineStr">
        <is>
          <t>Entregables académicos</t>
        </is>
      </c>
      <c r="C67" s="8" t="inlineStr">
        <is>
          <t>Atraso en los entregables documentales exigidos por la pauta del APT</t>
        </is>
      </c>
      <c r="D67" s="8" t="inlineStr">
        <is>
          <t>Foco del equipo puesto en el desarrollo por sobre la documentación del proceso</t>
        </is>
      </c>
      <c r="E67" s="8" t="inlineStr">
        <is>
          <t>Descuento en la evaluación pese a contar con un producto funcional</t>
        </is>
      </c>
      <c r="F67" s="7" t="n">
        <v>3</v>
      </c>
      <c r="G67" s="7" t="n">
        <v>4</v>
      </c>
      <c r="H67" s="7">
        <f>F67*G67</f>
        <v/>
      </c>
      <c r="I67" s="9">
        <f>IF(H67="","",IF(H67&lt;=5,"Bajo",IF(H67&lt;=10,"Medio",IF(H67&lt;=15,"Alto","Crítico"))))</f>
        <v/>
      </c>
      <c r="J67" s="8" t="inlineStr">
        <is>
          <t>Mitigar</t>
        </is>
      </c>
      <c r="K67" s="8" t="inlineStr">
        <is>
          <t>Cada sprint cierra con su evidencia documental asociada; checklist de la rúbrica revisado antes de cada entrega; revisión cruzada de los documentos entre los tres integrantes</t>
        </is>
      </c>
      <c r="L67" s="8" t="inlineStr">
        <is>
          <t>Priorizar los documentos exigidos por la rúbrica por sobre el desarrollo de nuevas funcionalidades</t>
        </is>
      </c>
      <c r="M67" s="8" t="inlineStr">
        <is>
          <t>Felipe Gutiérrez</t>
        </is>
      </c>
      <c r="N67" s="8" t="inlineStr">
        <is>
          <t>Sprint 0 - Sprint 5</t>
        </is>
      </c>
      <c r="O67" s="7" t="n">
        <v>2</v>
      </c>
      <c r="P67" s="7" t="n">
        <v>4</v>
      </c>
      <c r="Q67" s="7">
        <f>O67*P67</f>
        <v/>
      </c>
      <c r="R67" s="9">
        <f>IF(Q67="","",IF(Q67&lt;=5,"Bajo",IF(Q67&lt;=10,"Medio",IF(Q67&lt;=15,"Alto","Crítico"))))</f>
        <v/>
      </c>
      <c r="S67" s="8" t="inlineStr">
        <is>
          <t>Activo</t>
        </is>
      </c>
    </row>
    <row r="68" ht="84" customHeight="1">
      <c r="A68" s="4" t="inlineStr">
        <is>
          <t>R-67</t>
        </is>
      </c>
      <c r="B68" s="5" t="inlineStr">
        <is>
          <t>Entregables académicos</t>
        </is>
      </c>
      <c r="C68" s="5" t="inlineStr">
        <is>
          <t>Documentación desactualizada respecto del sistema construido</t>
        </is>
      </c>
      <c r="D68" s="5" t="inlineStr">
        <is>
          <t>El diseño evoluciona durante el desarrollo y los documentos no se actualizan</t>
        </is>
      </c>
      <c r="E68" s="5" t="inlineStr">
        <is>
          <t>Inconsistencia entre lo documentado y lo demostrado, observada en la evaluación</t>
        </is>
      </c>
      <c r="F68" s="4" t="n">
        <v>3</v>
      </c>
      <c r="G68" s="4" t="n">
        <v>3</v>
      </c>
      <c r="H68" s="4">
        <f>F68*G68</f>
        <v/>
      </c>
      <c r="I68" s="6">
        <f>IF(H68="","",IF(H68&lt;=5,"Bajo",IF(H68&lt;=10,"Medio",IF(H68&lt;=15,"Alto","Crítico"))))</f>
        <v/>
      </c>
      <c r="J68" s="5" t="inlineStr">
        <is>
          <t>Mitigar</t>
        </is>
      </c>
      <c r="K68" s="5" t="inlineStr">
        <is>
          <t>Revisión de la documentación afectada como parte de la definición de terminado de cada sprint; versionado de los documentos junto al código</t>
        </is>
      </c>
      <c r="L68" s="5" t="inlineStr">
        <is>
          <t>Destinar el inicio del Sprint 5 a actualizar la documentación técnica contra el sistema real</t>
        </is>
      </c>
      <c r="M68" s="5" t="inlineStr">
        <is>
          <t>Esteban Morales</t>
        </is>
      </c>
      <c r="N68" s="5" t="inlineStr">
        <is>
          <t>Sprint 1 - Sprint 5</t>
        </is>
      </c>
      <c r="O68" s="4" t="n">
        <v>2</v>
      </c>
      <c r="P68" s="4" t="n">
        <v>2</v>
      </c>
      <c r="Q68" s="4">
        <f>O68*P68</f>
        <v/>
      </c>
      <c r="R68" s="6">
        <f>IF(Q68="","",IF(Q68&lt;=5,"Bajo",IF(Q68&lt;=10,"Medio",IF(Q68&lt;=15,"Alto","Crítico"))))</f>
        <v/>
      </c>
      <c r="S68" s="5" t="inlineStr">
        <is>
          <t>Activo</t>
        </is>
      </c>
    </row>
    <row r="69" ht="84" customHeight="1">
      <c r="A69" s="7" t="inlineStr">
        <is>
          <t>R-68</t>
        </is>
      </c>
      <c r="B69" s="8" t="inlineStr">
        <is>
          <t>Entregables académicos</t>
        </is>
      </c>
      <c r="C69" s="8" t="inlineStr">
        <is>
          <t>Observaciones del docente guía que obligan a rehacer parte del diseño</t>
        </is>
      </c>
      <c r="D69" s="8" t="inlineStr">
        <is>
          <t>Criterios de evaluación interpretados de forma distinta por el equipo</t>
        </is>
      </c>
      <c r="E69" s="8" t="inlineStr">
        <is>
          <t>Retrabajo documental o técnico en medio de la planificación vigente</t>
        </is>
      </c>
      <c r="F69" s="7" t="n">
        <v>3</v>
      </c>
      <c r="G69" s="7" t="n">
        <v>3</v>
      </c>
      <c r="H69" s="7">
        <f>F69*G69</f>
        <v/>
      </c>
      <c r="I69" s="9">
        <f>IF(H69="","",IF(H69&lt;=5,"Bajo",IF(H69&lt;=10,"Medio",IF(H69&lt;=15,"Alto","Crítico"))))</f>
        <v/>
      </c>
      <c r="J69" s="8" t="inlineStr">
        <is>
          <t>Mitigar</t>
        </is>
      </c>
      <c r="K69" s="8" t="inlineStr">
        <is>
          <t>Validación temprana del enfoque con el docente guía en el Sprint 0; reuniones de avance periódicas; consulta anticipada ante cualquier duda de interpretación</t>
        </is>
      </c>
      <c r="L69" s="8" t="inlineStr">
        <is>
          <t>Incorporar las observaciones como historias priorizadas en el sprint siguiente</t>
        </is>
      </c>
      <c r="M69" s="8" t="inlineStr">
        <is>
          <t>Felipe Gutiérrez</t>
        </is>
      </c>
      <c r="N69" s="8" t="inlineStr">
        <is>
          <t>Sprint 0 - Sprint 5</t>
        </is>
      </c>
      <c r="O69" s="7" t="n">
        <v>2</v>
      </c>
      <c r="P69" s="7" t="n">
        <v>2</v>
      </c>
      <c r="Q69" s="7">
        <f>O69*P69</f>
        <v/>
      </c>
      <c r="R69" s="9">
        <f>IF(Q69="","",IF(Q69&lt;=5,"Bajo",IF(Q69&lt;=10,"Medio",IF(Q69&lt;=15,"Alto","Crítico"))))</f>
        <v/>
      </c>
      <c r="S69" s="8" t="inlineStr">
        <is>
          <t>Activo</t>
        </is>
      </c>
    </row>
    <row r="70" ht="84" customHeight="1">
      <c r="A70" s="4" t="inlineStr">
        <is>
          <t>R-69</t>
        </is>
      </c>
      <c r="B70" s="5" t="inlineStr">
        <is>
          <t>Entregables académicos</t>
        </is>
      </c>
      <c r="C70" s="5" t="inlineStr">
        <is>
          <t>Falla técnica del equipamiento durante la defensa final</t>
        </is>
      </c>
      <c r="D70" s="5" t="inlineStr">
        <is>
          <t>Dependencia de conexión a internet, proyector y equipo personal el día de la presentación</t>
        </is>
      </c>
      <c r="E70" s="5" t="inlineStr">
        <is>
          <t>Pérdida de tiempo de exposición o imposibilidad de mostrar el sistema</t>
        </is>
      </c>
      <c r="F70" s="4" t="n">
        <v>3</v>
      </c>
      <c r="G70" s="4" t="n">
        <v>4</v>
      </c>
      <c r="H70" s="4">
        <f>F70*G70</f>
        <v/>
      </c>
      <c r="I70" s="6">
        <f>IF(H70="","",IF(H70&lt;=5,"Bajo",IF(H70&lt;=10,"Medio",IF(H70&lt;=15,"Alto","Crítico"))))</f>
        <v/>
      </c>
      <c r="J70" s="5" t="inlineStr">
        <is>
          <t>Mitigar</t>
        </is>
      </c>
      <c r="K70" s="5" t="inlineStr">
        <is>
          <t>Presentación y video de demostración descargados localmente en dos equipos distintos; conexión móvil como respaldo; prueba del equipamiento antes de la hora de inicio</t>
        </is>
      </c>
      <c r="L70" s="5" t="inlineStr">
        <is>
          <t>Exponer desde el equipo de respaldo con el material descargado localmente</t>
        </is>
      </c>
      <c r="M70" s="5" t="inlineStr">
        <is>
          <t>Esteban Morales</t>
        </is>
      </c>
      <c r="N70" s="5" t="inlineStr">
        <is>
          <t>Sprint 5</t>
        </is>
      </c>
      <c r="O70" s="4" t="n">
        <v>1</v>
      </c>
      <c r="P70" s="4" t="n">
        <v>3</v>
      </c>
      <c r="Q70" s="4">
        <f>O70*P70</f>
        <v/>
      </c>
      <c r="R70" s="6">
        <f>IF(Q70="","",IF(Q70&lt;=5,"Bajo",IF(Q70&lt;=10,"Medio",IF(Q70&lt;=15,"Alto","Crítico"))))</f>
        <v/>
      </c>
      <c r="S70" s="5" t="inlineStr">
        <is>
          <t>Activo</t>
        </is>
      </c>
    </row>
    <row r="71"/>
    <row r="72" ht="31.5" customHeight="1">
      <c r="A72" s="2" t="inlineStr">
        <is>
          <t>Nota: Nivel = Probabilidad × Impacto (columnas H y Q, calculadas automáticamente). El nivel residual corresponde a la exposición esperada una vez aplicadas las acciones de mitigación. Probabilidad, impacto y responsables fueron estimados por el equipo del proyecto; los criterios de cada valor están en la hoja «Escalas y Criterios».</t>
        </is>
      </c>
    </row>
    <row r="73"/>
    <row r="74"/>
  </sheetData>
  <autoFilter ref="A1:S70"/>
  <mergeCells count="1">
    <mergeCell ref="A72:N72"/>
  </mergeCells>
  <conditionalFormatting sqref="H2:I70">
    <cfRule type="expression" priority="2" dxfId="3">
      <formula>AND($H2&lt;&gt;"",$H2&gt;=16)</formula>
    </cfRule>
    <cfRule type="expression" priority="3" dxfId="2">
      <formula>AND($H2&lt;&gt;"",$H2&gt;=11)</formula>
    </cfRule>
    <cfRule type="expression" priority="4" dxfId="1">
      <formula>AND($H2&lt;&gt;"",$H2&gt;=6)</formula>
    </cfRule>
    <cfRule type="expression" priority="5" dxfId="0">
      <formula>AND($H2&lt;&gt;"",$H2&gt;=1)</formula>
    </cfRule>
  </conditionalFormatting>
  <conditionalFormatting sqref="Q2:R70">
    <cfRule type="expression" priority="6" dxfId="3">
      <formula>AND($Q2&lt;&gt;"",$Q2&gt;=16)</formula>
    </cfRule>
    <cfRule type="expression" priority="7" dxfId="2">
      <formula>AND($Q2&lt;&gt;"",$Q2&gt;=11)</formula>
    </cfRule>
    <cfRule type="expression" priority="8" dxfId="1">
      <formula>AND($Q2&lt;&gt;"",$Q2&gt;=6)</formula>
    </cfRule>
    <cfRule type="expression" priority="9" dxfId="0">
      <formula>AND($Q2&lt;&gt;"",$Q2&gt;=1)</formula>
    </cfRule>
  </conditionalFormatting>
  <dataValidations count="3">
    <dataValidation sqref="F2:G300 O2:P300" showDropDown="0" showInputMessage="0" showErrorMessage="1" allowBlank="1" errorTitle="Valor fuera de escala" error="Ingrese un valor entero entre 1 y 5." type="whole">
      <formula1>1</formula1>
      <formula2>5</formula2>
    </dataValidation>
    <dataValidation sqref="J2:J300" showDropDown="0" showInputMessage="0" showErrorMessage="1" allowBlank="1" type="list">
      <formula1>"Evitar,Mitigar,Transferir,Aceptar"</formula1>
      <formula2>0</formula2>
    </dataValidation>
    <dataValidation sqref="S2:S300" showDropDown="0" showInputMessage="0" showErrorMessage="1" allowBlank="1" type="list">
      <formula1>"Activo,En seguimiento,Materializado,Cerrado"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Normal="100" workbookViewId="0">
      <selection activeCell="A1" sqref="A1:F1"/>
    </sheetView>
  </sheetViews>
  <sheetFormatPr baseColWidth="10" defaultColWidth="8.7109375" defaultRowHeight="15"/>
  <cols>
    <col width="26" customWidth="1" min="1" max="1"/>
    <col width="17" customWidth="1" min="2" max="6"/>
  </cols>
  <sheetData>
    <row r="1" ht="15.75" customHeight="1">
      <c r="A1" s="1" t="inlineStr">
        <is>
          <t>Matriz de riesgo 5x5 — cantidad de riesgos por combinación (exposición inherente)</t>
        </is>
      </c>
    </row>
    <row r="3" ht="33.75" customHeight="1">
      <c r="A3" s="3" t="inlineStr">
        <is>
          <t>Probabilidad \ Impacto</t>
        </is>
      </c>
      <c r="B3" s="3" t="inlineStr">
        <is>
          <t>1 - Insignificante</t>
        </is>
      </c>
      <c r="C3" s="3" t="inlineStr">
        <is>
          <t>2 - Menor</t>
        </is>
      </c>
      <c r="D3" s="3" t="inlineStr">
        <is>
          <t>3 - Moderado</t>
        </is>
      </c>
      <c r="E3" s="3" t="inlineStr">
        <is>
          <t>4 - Mayor</t>
        </is>
      </c>
      <c r="F3" s="3" t="inlineStr">
        <is>
          <t>5 - Crítico</t>
        </is>
      </c>
    </row>
    <row r="4" ht="36" customHeight="1">
      <c r="A4" s="3" t="inlineStr">
        <is>
          <t>5 - Casi seguro</t>
        </is>
      </c>
      <c r="B4" s="10">
        <f>COUNTIFS('Planilla de Riesgos'!$F$2:$F$70,5,'Planilla de Riesgos'!$G$2:$G$70,1)</f>
        <v/>
      </c>
      <c r="C4" s="11">
        <f>COUNTIFS('Planilla de Riesgos'!$F$2:$F$70,5,'Planilla de Riesgos'!$G$2:$G$70,2)</f>
        <v/>
      </c>
      <c r="D4" s="12">
        <f>COUNTIFS('Planilla de Riesgos'!$F$2:$F$70,5,'Planilla de Riesgos'!$G$2:$G$70,3)</f>
        <v/>
      </c>
      <c r="E4" s="13">
        <f>COUNTIFS('Planilla de Riesgos'!$F$2:$F$70,5,'Planilla de Riesgos'!$G$2:$G$70,4)</f>
        <v/>
      </c>
      <c r="F4" s="13">
        <f>COUNTIFS('Planilla de Riesgos'!$F$2:$F$70,5,'Planilla de Riesgos'!$G$2:$G$70,5)</f>
        <v/>
      </c>
    </row>
    <row r="5" ht="36" customHeight="1">
      <c r="A5" s="3" t="inlineStr">
        <is>
          <t>4 - Probable</t>
        </is>
      </c>
      <c r="B5" s="10">
        <f>COUNTIFS('Planilla de Riesgos'!$F$2:$F$70,4,'Planilla de Riesgos'!$G$2:$G$70,1)</f>
        <v/>
      </c>
      <c r="C5" s="11">
        <f>COUNTIFS('Planilla de Riesgos'!$F$2:$F$70,4,'Planilla de Riesgos'!$G$2:$G$70,2)</f>
        <v/>
      </c>
      <c r="D5" s="12">
        <f>COUNTIFS('Planilla de Riesgos'!$F$2:$F$70,4,'Planilla de Riesgos'!$G$2:$G$70,3)</f>
        <v/>
      </c>
      <c r="E5" s="13">
        <f>COUNTIFS('Planilla de Riesgos'!$F$2:$F$70,4,'Planilla de Riesgos'!$G$2:$G$70,4)</f>
        <v/>
      </c>
      <c r="F5" s="13">
        <f>COUNTIFS('Planilla de Riesgos'!$F$2:$F$70,4,'Planilla de Riesgos'!$G$2:$G$70,5)</f>
        <v/>
      </c>
    </row>
    <row r="6" ht="36" customHeight="1">
      <c r="A6" s="3" t="inlineStr">
        <is>
          <t>3 - Posible</t>
        </is>
      </c>
      <c r="B6" s="10">
        <f>COUNTIFS('Planilla de Riesgos'!$F$2:$F$70,3,'Planilla de Riesgos'!$G$2:$G$70,1)</f>
        <v/>
      </c>
      <c r="C6" s="11">
        <f>COUNTIFS('Planilla de Riesgos'!$F$2:$F$70,3,'Planilla de Riesgos'!$G$2:$G$70,2)</f>
        <v/>
      </c>
      <c r="D6" s="11">
        <f>COUNTIFS('Planilla de Riesgos'!$F$2:$F$70,3,'Planilla de Riesgos'!$G$2:$G$70,3)</f>
        <v/>
      </c>
      <c r="E6" s="12">
        <f>COUNTIFS('Planilla de Riesgos'!$F$2:$F$70,3,'Planilla de Riesgos'!$G$2:$G$70,4)</f>
        <v/>
      </c>
      <c r="F6" s="12">
        <f>COUNTIFS('Planilla de Riesgos'!$F$2:$F$70,3,'Planilla de Riesgos'!$G$2:$G$70,5)</f>
        <v/>
      </c>
    </row>
    <row r="7" ht="36" customHeight="1">
      <c r="A7" s="3" t="inlineStr">
        <is>
          <t>2 - Poco probable</t>
        </is>
      </c>
      <c r="B7" s="10">
        <f>COUNTIFS('Planilla de Riesgos'!$F$2:$F$70,2,'Planilla de Riesgos'!$G$2:$G$70,1)</f>
        <v/>
      </c>
      <c r="C7" s="10">
        <f>COUNTIFS('Planilla de Riesgos'!$F$2:$F$70,2,'Planilla de Riesgos'!$G$2:$G$70,2)</f>
        <v/>
      </c>
      <c r="D7" s="11">
        <f>COUNTIFS('Planilla de Riesgos'!$F$2:$F$70,2,'Planilla de Riesgos'!$G$2:$G$70,3)</f>
        <v/>
      </c>
      <c r="E7" s="11">
        <f>COUNTIFS('Planilla de Riesgos'!$F$2:$F$70,2,'Planilla de Riesgos'!$G$2:$G$70,4)</f>
        <v/>
      </c>
      <c r="F7" s="11">
        <f>COUNTIFS('Planilla de Riesgos'!$F$2:$F$70,2,'Planilla de Riesgos'!$G$2:$G$70,5)</f>
        <v/>
      </c>
    </row>
    <row r="8" ht="36" customHeight="1">
      <c r="A8" s="3" t="inlineStr">
        <is>
          <t>1 - Raro</t>
        </is>
      </c>
      <c r="B8" s="10">
        <f>COUNTIFS('Planilla de Riesgos'!$F$2:$F$70,1,'Planilla de Riesgos'!$G$2:$G$70,1)</f>
        <v/>
      </c>
      <c r="C8" s="10">
        <f>COUNTIFS('Planilla de Riesgos'!$F$2:$F$70,1,'Planilla de Riesgos'!$G$2:$G$70,2)</f>
        <v/>
      </c>
      <c r="D8" s="10">
        <f>COUNTIFS('Planilla de Riesgos'!$F$2:$F$70,1,'Planilla de Riesgos'!$G$2:$G$70,3)</f>
        <v/>
      </c>
      <c r="E8" s="10">
        <f>COUNTIFS('Planilla de Riesgos'!$F$2:$F$70,1,'Planilla de Riesgos'!$G$2:$G$70,4)</f>
        <v/>
      </c>
      <c r="F8" s="10">
        <f>COUNTIFS('Planilla de Riesgos'!$F$2:$F$70,1,'Planilla de Riesgos'!$G$2:$G$70,5)</f>
        <v/>
      </c>
    </row>
    <row r="11">
      <c r="A11" s="14" t="inlineStr">
        <is>
          <t>Resumen por nivel de severidad</t>
        </is>
      </c>
    </row>
    <row r="12" ht="25.5" customHeight="1">
      <c r="A12" s="3" t="inlineStr">
        <is>
          <t>Severidad</t>
        </is>
      </c>
      <c r="B12" s="3" t="inlineStr">
        <is>
          <t>Rango (P×I)</t>
        </is>
      </c>
      <c r="C12" s="3" t="inlineStr">
        <is>
          <t>Riesgos inherentes</t>
        </is>
      </c>
      <c r="D12" s="3" t="inlineStr">
        <is>
          <t>Riesgos residuales</t>
        </is>
      </c>
    </row>
    <row r="13">
      <c r="A13" s="15" t="inlineStr">
        <is>
          <t>Bajo</t>
        </is>
      </c>
      <c r="B13" s="15" t="inlineStr">
        <is>
          <t>1 a 5</t>
        </is>
      </c>
      <c r="C13" s="15">
        <f>COUNTIFS('Planilla de Riesgos'!$H$2:$H$70,"&gt;="&amp;1,'Planilla de Riesgos'!$H$2:$H$70,"&lt;="&amp;5)</f>
        <v/>
      </c>
      <c r="D13" s="15">
        <f>COUNTIFS('Planilla de Riesgos'!$Q$2:$Q$70,"&gt;="&amp;1,'Planilla de Riesgos'!$Q$2:$Q$70,"&lt;="&amp;5)</f>
        <v/>
      </c>
    </row>
    <row r="14">
      <c r="A14" s="15" t="inlineStr">
        <is>
          <t>Medio</t>
        </is>
      </c>
      <c r="B14" s="15" t="inlineStr">
        <is>
          <t>6 a 10</t>
        </is>
      </c>
      <c r="C14" s="15">
        <f>COUNTIFS('Planilla de Riesgos'!$H$2:$H$70,"&gt;="&amp;6,'Planilla de Riesgos'!$H$2:$H$70,"&lt;="&amp;10)</f>
        <v/>
      </c>
      <c r="D14" s="15">
        <f>COUNTIFS('Planilla de Riesgos'!$Q$2:$Q$70,"&gt;="&amp;6,'Planilla de Riesgos'!$Q$2:$Q$70,"&lt;="&amp;10)</f>
        <v/>
      </c>
    </row>
    <row r="15">
      <c r="A15" s="15" t="inlineStr">
        <is>
          <t>Alto</t>
        </is>
      </c>
      <c r="B15" s="15" t="inlineStr">
        <is>
          <t>11 a 15</t>
        </is>
      </c>
      <c r="C15" s="15">
        <f>COUNTIFS('Planilla de Riesgos'!$H$2:$H$70,"&gt;="&amp;11,'Planilla de Riesgos'!$H$2:$H$70,"&lt;="&amp;15)</f>
        <v/>
      </c>
      <c r="D15" s="15">
        <f>COUNTIFS('Planilla de Riesgos'!$Q$2:$Q$70,"&gt;="&amp;11,'Planilla de Riesgos'!$Q$2:$Q$70,"&lt;="&amp;15)</f>
        <v/>
      </c>
    </row>
    <row r="16">
      <c r="A16" s="15" t="inlineStr">
        <is>
          <t>Crítico</t>
        </is>
      </c>
      <c r="B16" s="15" t="inlineStr">
        <is>
          <t>16 a 25</t>
        </is>
      </c>
      <c r="C16" s="15">
        <f>COUNTIFS('Planilla de Riesgos'!$H$2:$H$70,"&gt;="&amp;16,'Planilla de Riesgos'!$H$2:$H$70,"&lt;="&amp;25)</f>
        <v/>
      </c>
      <c r="D16" s="15">
        <f>COUNTIFS('Planilla de Riesgos'!$Q$2:$Q$70,"&gt;="&amp;16,'Planilla de Riesgos'!$Q$2:$Q$70,"&lt;="&amp;25)</f>
        <v/>
      </c>
    </row>
    <row r="17">
      <c r="A17" s="16" t="inlineStr">
        <is>
          <t>Total</t>
        </is>
      </c>
      <c r="B17" s="16" t="n"/>
      <c r="C17" s="16">
        <f>SUM(C13:C16)</f>
        <v/>
      </c>
      <c r="D17" s="16">
        <f>SUM(D13:D16)</f>
        <v/>
      </c>
    </row>
    <row r="20">
      <c r="A20" s="14" t="inlineStr">
        <is>
          <t>Resumen por categoría</t>
        </is>
      </c>
    </row>
    <row r="21" ht="30" customHeight="1">
      <c r="A21" s="3" t="inlineStr">
        <is>
          <t>Categoría</t>
        </is>
      </c>
      <c r="B21" s="3" t="inlineStr">
        <is>
          <t>N° de riesgos</t>
        </is>
      </c>
      <c r="C21" s="3" t="inlineStr">
        <is>
          <t>Nivel promedio</t>
        </is>
      </c>
      <c r="D21" s="3" t="inlineStr">
        <is>
          <t>Nivel máximo</t>
        </is>
      </c>
      <c r="E21" s="3" t="inlineStr">
        <is>
          <t>Riesgos altos o críticos</t>
        </is>
      </c>
    </row>
    <row r="22">
      <c r="A22" s="17" t="inlineStr">
        <is>
          <t>Alcance</t>
        </is>
      </c>
      <c r="B22" s="15">
        <f>COUNTIF('Planilla de Riesgos'!$B$2:$B$70,$A22)</f>
        <v/>
      </c>
      <c r="C22" s="15">
        <f>IFERROR(ROUND(AVERAGEIF('Planilla de Riesgos'!$B$2:$B$70,$A22,'Planilla de Riesgos'!$H$2:$H$70),1),0)</f>
        <v/>
      </c>
      <c r="D22" s="15">
        <f>SUMPRODUCT(MAX(('Planilla de Riesgos'!$B$2:$B$70=$A22)*'Planilla de Riesgos'!$H$2:$H$70))</f>
        <v/>
      </c>
      <c r="E22" s="15">
        <f>COUNTIFS('Planilla de Riesgos'!$B$2:$B$70,$A22,'Planilla de Riesgos'!$H$2:$H$70,"&gt;=11")</f>
        <v/>
      </c>
    </row>
    <row r="23">
      <c r="A23" s="18" t="inlineStr">
        <is>
          <t>Stakeholders</t>
        </is>
      </c>
      <c r="B23" s="19">
        <f>COUNTIF('Planilla de Riesgos'!$B$2:$B$70,$A23)</f>
        <v/>
      </c>
      <c r="C23" s="19">
        <f>IFERROR(ROUND(AVERAGEIF('Planilla de Riesgos'!$B$2:$B$70,$A23,'Planilla de Riesgos'!$H$2:$H$70),1),0)</f>
        <v/>
      </c>
      <c r="D23" s="19">
        <f>SUMPRODUCT(MAX(('Planilla de Riesgos'!$B$2:$B$70=$A23)*'Planilla de Riesgos'!$H$2:$H$70))</f>
        <v/>
      </c>
      <c r="E23" s="19">
        <f>COUNTIFS('Planilla de Riesgos'!$B$2:$B$70,$A23,'Planilla de Riesgos'!$H$2:$H$70,"&gt;=11")</f>
        <v/>
      </c>
    </row>
    <row r="24">
      <c r="A24" s="17" t="inlineStr">
        <is>
          <t>Equipo</t>
        </is>
      </c>
      <c r="B24" s="15">
        <f>COUNTIF('Planilla de Riesgos'!$B$2:$B$70,$A24)</f>
        <v/>
      </c>
      <c r="C24" s="15">
        <f>IFERROR(ROUND(AVERAGEIF('Planilla de Riesgos'!$B$2:$B$70,$A24,'Planilla de Riesgos'!$H$2:$H$70),1),0)</f>
        <v/>
      </c>
      <c r="D24" s="15">
        <f>SUMPRODUCT(MAX(('Planilla de Riesgos'!$B$2:$B$70=$A24)*'Planilla de Riesgos'!$H$2:$H$70))</f>
        <v/>
      </c>
      <c r="E24" s="15">
        <f>COUNTIFS('Planilla de Riesgos'!$B$2:$B$70,$A24,'Planilla de Riesgos'!$H$2:$H$70,"&gt;=11")</f>
        <v/>
      </c>
    </row>
    <row r="25">
      <c r="A25" s="18" t="inlineStr">
        <is>
          <t>Planificación</t>
        </is>
      </c>
      <c r="B25" s="19">
        <f>COUNTIF('Planilla de Riesgos'!$B$2:$B$70,$A25)</f>
        <v/>
      </c>
      <c r="C25" s="19">
        <f>IFERROR(ROUND(AVERAGEIF('Planilla de Riesgos'!$B$2:$B$70,$A25,'Planilla de Riesgos'!$H$2:$H$70),1),0)</f>
        <v/>
      </c>
      <c r="D25" s="19">
        <f>SUMPRODUCT(MAX(('Planilla de Riesgos'!$B$2:$B$70=$A25)*'Planilla de Riesgos'!$H$2:$H$70))</f>
        <v/>
      </c>
      <c r="E25" s="19">
        <f>COUNTIFS('Planilla de Riesgos'!$B$2:$B$70,$A25,'Planilla de Riesgos'!$H$2:$H$70,"&gt;=11")</f>
        <v/>
      </c>
    </row>
    <row r="26">
      <c r="A26" s="17" t="inlineStr">
        <is>
          <t>Técnico</t>
        </is>
      </c>
      <c r="B26" s="15">
        <f>COUNTIF('Planilla de Riesgos'!$B$2:$B$70,$A26)</f>
        <v/>
      </c>
      <c r="C26" s="15">
        <f>IFERROR(ROUND(AVERAGEIF('Planilla de Riesgos'!$B$2:$B$70,$A26,'Planilla de Riesgos'!$H$2:$H$70),1),0)</f>
        <v/>
      </c>
      <c r="D26" s="15">
        <f>SUMPRODUCT(MAX(('Planilla de Riesgos'!$B$2:$B$70=$A26)*'Planilla de Riesgos'!$H$2:$H$70))</f>
        <v/>
      </c>
      <c r="E26" s="15">
        <f>COUNTIFS('Planilla de Riesgos'!$B$2:$B$70,$A26,'Planilla de Riesgos'!$H$2:$H$70,"&gt;=11")</f>
        <v/>
      </c>
    </row>
    <row r="27">
      <c r="A27" s="18" t="inlineStr">
        <is>
          <t>Infraestructura</t>
        </is>
      </c>
      <c r="B27" s="19">
        <f>COUNTIF('Planilla de Riesgos'!$B$2:$B$70,$A27)</f>
        <v/>
      </c>
      <c r="C27" s="19">
        <f>IFERROR(ROUND(AVERAGEIF('Planilla de Riesgos'!$B$2:$B$70,$A27,'Planilla de Riesgos'!$H$2:$H$70),1),0)</f>
        <v/>
      </c>
      <c r="D27" s="19">
        <f>SUMPRODUCT(MAX(('Planilla de Riesgos'!$B$2:$B$70=$A27)*'Planilla de Riesgos'!$H$2:$H$70))</f>
        <v/>
      </c>
      <c r="E27" s="19">
        <f>COUNTIFS('Planilla de Riesgos'!$B$2:$B$70,$A27,'Planilla de Riesgos'!$H$2:$H$70,"&gt;=11")</f>
        <v/>
      </c>
    </row>
    <row r="28">
      <c r="A28" s="17" t="inlineStr">
        <is>
          <t>Seguridad</t>
        </is>
      </c>
      <c r="B28" s="15">
        <f>COUNTIF('Planilla de Riesgos'!$B$2:$B$70,$A28)</f>
        <v/>
      </c>
      <c r="C28" s="15">
        <f>IFERROR(ROUND(AVERAGEIF('Planilla de Riesgos'!$B$2:$B$70,$A28,'Planilla de Riesgos'!$H$2:$H$70),1),0)</f>
        <v/>
      </c>
      <c r="D28" s="15">
        <f>SUMPRODUCT(MAX(('Planilla de Riesgos'!$B$2:$B$70=$A28)*'Planilla de Riesgos'!$H$2:$H$70))</f>
        <v/>
      </c>
      <c r="E28" s="15">
        <f>COUNTIFS('Planilla de Riesgos'!$B$2:$B$70,$A28,'Planilla de Riesgos'!$H$2:$H$70,"&gt;=11")</f>
        <v/>
      </c>
    </row>
    <row r="29">
      <c r="A29" s="18" t="inlineStr">
        <is>
          <t>Legal / Datos personales</t>
        </is>
      </c>
      <c r="B29" s="19">
        <f>COUNTIF('Planilla de Riesgos'!$B$2:$B$70,$A29)</f>
        <v/>
      </c>
      <c r="C29" s="19">
        <f>IFERROR(ROUND(AVERAGEIF('Planilla de Riesgos'!$B$2:$B$70,$A29,'Planilla de Riesgos'!$H$2:$H$70),1),0)</f>
        <v/>
      </c>
      <c r="D29" s="19">
        <f>SUMPRODUCT(MAX(('Planilla de Riesgos'!$B$2:$B$70=$A29)*'Planilla de Riesgos'!$H$2:$H$70))</f>
        <v/>
      </c>
      <c r="E29" s="19">
        <f>COUNTIFS('Planilla de Riesgos'!$B$2:$B$70,$A29,'Planilla de Riesgos'!$H$2:$H$70,"&gt;=11")</f>
        <v/>
      </c>
    </row>
    <row r="30">
      <c r="A30" s="17" t="inlineStr">
        <is>
          <t>IA</t>
        </is>
      </c>
      <c r="B30" s="15">
        <f>COUNTIF('Planilla de Riesgos'!$B$2:$B$70,$A30)</f>
        <v/>
      </c>
      <c r="C30" s="15">
        <f>IFERROR(ROUND(AVERAGEIF('Planilla de Riesgos'!$B$2:$B$70,$A30,'Planilla de Riesgos'!$H$2:$H$70),1),0)</f>
        <v/>
      </c>
      <c r="D30" s="15">
        <f>SUMPRODUCT(MAX(('Planilla de Riesgos'!$B$2:$B$70=$A30)*'Planilla de Riesgos'!$H$2:$H$70))</f>
        <v/>
      </c>
      <c r="E30" s="15">
        <f>COUNTIFS('Planilla de Riesgos'!$B$2:$B$70,$A30,'Planilla de Riesgos'!$H$2:$H$70,"&gt;=11")</f>
        <v/>
      </c>
    </row>
    <row r="31">
      <c r="A31" s="18" t="inlineStr">
        <is>
          <t>Integraciones</t>
        </is>
      </c>
      <c r="B31" s="19">
        <f>COUNTIF('Planilla de Riesgos'!$B$2:$B$70,$A31)</f>
        <v/>
      </c>
      <c r="C31" s="19">
        <f>IFERROR(ROUND(AVERAGEIF('Planilla de Riesgos'!$B$2:$B$70,$A31,'Planilla de Riesgos'!$H$2:$H$70),1),0)</f>
        <v/>
      </c>
      <c r="D31" s="19">
        <f>SUMPRODUCT(MAX(('Planilla de Riesgos'!$B$2:$B$70=$A31)*'Planilla de Riesgos'!$H$2:$H$70))</f>
        <v/>
      </c>
      <c r="E31" s="19">
        <f>COUNTIFS('Planilla de Riesgos'!$B$2:$B$70,$A31,'Planilla de Riesgos'!$H$2:$H$70,"&gt;=11")</f>
        <v/>
      </c>
    </row>
    <row r="32">
      <c r="A32" s="17" t="inlineStr">
        <is>
          <t>Migración de datos</t>
        </is>
      </c>
      <c r="B32" s="15">
        <f>COUNTIF('Planilla de Riesgos'!$B$2:$B$70,$A32)</f>
        <v/>
      </c>
      <c r="C32" s="15">
        <f>IFERROR(ROUND(AVERAGEIF('Planilla de Riesgos'!$B$2:$B$70,$A32,'Planilla de Riesgos'!$H$2:$H$70),1),0)</f>
        <v/>
      </c>
      <c r="D32" s="15">
        <f>SUMPRODUCT(MAX(('Planilla de Riesgos'!$B$2:$B$70=$A32)*'Planilla de Riesgos'!$H$2:$H$70))</f>
        <v/>
      </c>
      <c r="E32" s="15">
        <f>COUNTIFS('Planilla de Riesgos'!$B$2:$B$70,$A32,'Planilla de Riesgos'!$H$2:$H$70,"&gt;=11")</f>
        <v/>
      </c>
    </row>
    <row r="33">
      <c r="A33" s="18" t="inlineStr">
        <is>
          <t>Usuario final</t>
        </is>
      </c>
      <c r="B33" s="19">
        <f>COUNTIF('Planilla de Riesgos'!$B$2:$B$70,$A33)</f>
        <v/>
      </c>
      <c r="C33" s="19">
        <f>IFERROR(ROUND(AVERAGEIF('Planilla de Riesgos'!$B$2:$B$70,$A33,'Planilla de Riesgos'!$H$2:$H$70),1),0)</f>
        <v/>
      </c>
      <c r="D33" s="19">
        <f>SUMPRODUCT(MAX(('Planilla de Riesgos'!$B$2:$B$70=$A33)*'Planilla de Riesgos'!$H$2:$H$70))</f>
        <v/>
      </c>
      <c r="E33" s="19">
        <f>COUNTIFS('Planilla de Riesgos'!$B$2:$B$70,$A33,'Planilla de Riesgos'!$H$2:$H$70,"&gt;=11")</f>
        <v/>
      </c>
    </row>
    <row r="34">
      <c r="A34" s="17" t="inlineStr">
        <is>
          <t>Calidad</t>
        </is>
      </c>
      <c r="B34" s="15">
        <f>COUNTIF('Planilla de Riesgos'!$B$2:$B$70,$A34)</f>
        <v/>
      </c>
      <c r="C34" s="15">
        <f>IFERROR(ROUND(AVERAGEIF('Planilla de Riesgos'!$B$2:$B$70,$A34,'Planilla de Riesgos'!$H$2:$H$70),1),0)</f>
        <v/>
      </c>
      <c r="D34" s="15">
        <f>SUMPRODUCT(MAX(('Planilla de Riesgos'!$B$2:$B$70=$A34)*'Planilla de Riesgos'!$H$2:$H$70))</f>
        <v/>
      </c>
      <c r="E34" s="15">
        <f>COUNTIFS('Planilla de Riesgos'!$B$2:$B$70,$A34,'Planilla de Riesgos'!$H$2:$H$70,"&gt;=11")</f>
        <v/>
      </c>
    </row>
    <row r="35">
      <c r="A35" s="18" t="inlineStr">
        <is>
          <t>Costos</t>
        </is>
      </c>
      <c r="B35" s="19">
        <f>COUNTIF('Planilla de Riesgos'!$B$2:$B$70,$A35)</f>
        <v/>
      </c>
      <c r="C35" s="19">
        <f>IFERROR(ROUND(AVERAGEIF('Planilla de Riesgos'!$B$2:$B$70,$A35,'Planilla de Riesgos'!$H$2:$H$70),1),0)</f>
        <v/>
      </c>
      <c r="D35" s="19">
        <f>SUMPRODUCT(MAX(('Planilla de Riesgos'!$B$2:$B$70=$A35)*'Planilla de Riesgos'!$H$2:$H$70))</f>
        <v/>
      </c>
      <c r="E35" s="19">
        <f>COUNTIFS('Planilla de Riesgos'!$B$2:$B$70,$A35,'Planilla de Riesgos'!$H$2:$H$70,"&gt;=11")</f>
        <v/>
      </c>
    </row>
    <row r="36">
      <c r="A36" s="17" t="inlineStr">
        <is>
          <t>Entregables académicos</t>
        </is>
      </c>
      <c r="B36" s="15">
        <f>COUNTIF('Planilla de Riesgos'!$B$2:$B$70,$A36)</f>
        <v/>
      </c>
      <c r="C36" s="15">
        <f>IFERROR(ROUND(AVERAGEIF('Planilla de Riesgos'!$B$2:$B$70,$A36,'Planilla de Riesgos'!$H$2:$H$70),1),0)</f>
        <v/>
      </c>
      <c r="D36" s="15">
        <f>SUMPRODUCT(MAX(('Planilla de Riesgos'!$B$2:$B$70=$A36)*'Planilla de Riesgos'!$H$2:$H$70))</f>
        <v/>
      </c>
      <c r="E36" s="15">
        <f>COUNTIFS('Planilla de Riesgos'!$B$2:$B$70,$A36,'Planilla de Riesgos'!$H$2:$H$70,"&gt;=11")</f>
        <v/>
      </c>
    </row>
    <row r="37">
      <c r="A37" s="20" t="inlineStr">
        <is>
          <t>Total general</t>
        </is>
      </c>
      <c r="B37" s="16">
        <f>SUM(B22:B36)</f>
        <v/>
      </c>
      <c r="C37" s="16" t="n"/>
      <c r="D37" s="16" t="n"/>
      <c r="E37" s="16">
        <f>SUM(E22:E36)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zoomScaleNormal="100" workbookViewId="0">
      <selection activeCell="I11" sqref="I11"/>
    </sheetView>
  </sheetViews>
  <sheetFormatPr baseColWidth="10" defaultColWidth="8.7109375" defaultRowHeight="15"/>
  <cols>
    <col width="60" customWidth="1" min="1" max="1"/>
    <col width="40.28515625" customWidth="1" min="2" max="2"/>
    <col width="26" customWidth="1" min="3" max="3"/>
  </cols>
  <sheetData>
    <row r="1" ht="16.5" customHeight="1">
      <c r="A1" s="21" t="inlineStr">
        <is>
          <t>Escalas y criterios de evaluación de riesgos</t>
        </is>
      </c>
    </row>
    <row r="3">
      <c r="A3" s="14" t="inlineStr">
        <is>
          <t>1. Escala de probabilidad</t>
        </is>
      </c>
    </row>
    <row r="4" ht="25.5" customHeight="1">
      <c r="A4" s="3" t="inlineStr">
        <is>
          <t>Valor</t>
        </is>
      </c>
      <c r="B4" s="3" t="inlineStr">
        <is>
          <t>Nivel</t>
        </is>
      </c>
      <c r="C4" s="3" t="inlineStr">
        <is>
          <t>Criterio aplicado en este proyecto</t>
        </is>
      </c>
    </row>
    <row r="5" ht="54.75" customHeight="1">
      <c r="A5" s="4" t="n">
        <v>1</v>
      </c>
      <c r="B5" s="22" t="inlineStr">
        <is>
          <t>Raro</t>
        </is>
      </c>
      <c r="C5" s="22" t="inlineStr">
        <is>
          <t>Es improbable que ocurra durante las 18 semanas del proyecto</t>
        </is>
      </c>
    </row>
    <row r="6" ht="42" customHeight="1">
      <c r="A6" s="4" t="n">
        <v>2</v>
      </c>
      <c r="B6" s="22" t="inlineStr">
        <is>
          <t>Poco probable</t>
        </is>
      </c>
      <c r="C6" s="22" t="inlineStr">
        <is>
          <t>Podría ocurrir una vez durante el proyecto</t>
        </is>
      </c>
    </row>
    <row r="7" ht="30" customHeight="1">
      <c r="A7" s="4" t="n">
        <v>3</v>
      </c>
      <c r="B7" s="22" t="inlineStr">
        <is>
          <t>Posible</t>
        </is>
      </c>
      <c r="C7" s="22" t="inlineStr">
        <is>
          <t>Es razonable esperar que ocurra al menos una vez</t>
        </is>
      </c>
    </row>
    <row r="8" ht="48.75" customHeight="1">
      <c r="A8" s="4" t="n">
        <v>4</v>
      </c>
      <c r="B8" s="22" t="inlineStr">
        <is>
          <t>Probable</t>
        </is>
      </c>
      <c r="C8" s="22" t="inlineStr">
        <is>
          <t>Es esperable que ocurra en más de un sprint</t>
        </is>
      </c>
    </row>
    <row r="9" ht="54" customHeight="1">
      <c r="A9" s="4" t="n">
        <v>5</v>
      </c>
      <c r="B9" s="22" t="inlineStr">
        <is>
          <t>Casi seguro</t>
        </is>
      </c>
      <c r="C9" s="22" t="inlineStr">
        <is>
          <t>Ocurrirá salvo que se apliquen acciones preventivas</t>
        </is>
      </c>
    </row>
    <row r="12">
      <c r="A12" s="14" t="inlineStr">
        <is>
          <t>2. Escala de impacto</t>
        </is>
      </c>
    </row>
    <row r="13" ht="25.5" customHeight="1">
      <c r="A13" s="3" t="inlineStr">
        <is>
          <t>Valor</t>
        </is>
      </c>
      <c r="B13" s="3" t="inlineStr">
        <is>
          <t>Nivel</t>
        </is>
      </c>
      <c r="C13" s="3" t="inlineStr">
        <is>
          <t>Criterio aplicado en este proyecto</t>
        </is>
      </c>
    </row>
    <row r="14" ht="58.5" customHeight="1">
      <c r="A14" s="4" t="n">
        <v>1</v>
      </c>
      <c r="B14" s="22" t="inlineStr">
        <is>
          <t>Insignificante</t>
        </is>
      </c>
      <c r="C14" s="22" t="inlineStr">
        <is>
          <t>Sin efecto en el hito del sprint; se absorbe con el trabajo normal</t>
        </is>
      </c>
    </row>
    <row r="15" ht="69" customHeight="1">
      <c r="A15" s="4" t="n">
        <v>2</v>
      </c>
      <c r="B15" s="22" t="inlineStr">
        <is>
          <t>Menor</t>
        </is>
      </c>
      <c r="C15" s="22" t="inlineStr">
        <is>
          <t>Atraso de hasta 2 días o retrabajo acotado a una historia de usuario</t>
        </is>
      </c>
    </row>
    <row r="16" ht="78" customHeight="1">
      <c r="A16" s="4" t="n">
        <v>3</v>
      </c>
      <c r="B16" s="22" t="inlineStr">
        <is>
          <t>Moderado</t>
        </is>
      </c>
      <c r="C16" s="22" t="inlineStr">
        <is>
          <t>Atraso de hasta una semana o pérdida de una funcionalidad secundaria</t>
        </is>
      </c>
    </row>
    <row r="17" ht="66.75" customHeight="1">
      <c r="A17" s="4" t="n">
        <v>4</v>
      </c>
      <c r="B17" s="22" t="inlineStr">
        <is>
          <t>Mayor</t>
        </is>
      </c>
      <c r="C17" s="22" t="inlineStr">
        <is>
          <t>Incumplimiento de un hito de sprint o pérdida de una funcionalidad comprometida</t>
        </is>
      </c>
    </row>
    <row r="18" ht="77.25" customHeight="1">
      <c r="A18" s="4" t="n">
        <v>5</v>
      </c>
      <c r="B18" s="22" t="inlineStr">
        <is>
          <t>Crítico</t>
        </is>
      </c>
      <c r="C18" s="22" t="inlineStr">
        <is>
          <t>Compromete el objetivo general, la entrega final o la confianza de la agencia</t>
        </is>
      </c>
    </row>
    <row r="21">
      <c r="A21" s="14" t="inlineStr">
        <is>
          <t>3. Niveles de severidad (Probabilidad × Impacto)</t>
        </is>
      </c>
    </row>
    <row r="22">
      <c r="A22" s="3" t="inlineStr">
        <is>
          <t>Rango</t>
        </is>
      </c>
      <c r="B22" s="3" t="inlineStr">
        <is>
          <t>Severidad</t>
        </is>
      </c>
      <c r="C22" s="3" t="inlineStr">
        <is>
          <t>Tratamiento requerido</t>
        </is>
      </c>
    </row>
    <row r="23" ht="49.5" customHeight="1">
      <c r="A23" s="4" t="inlineStr">
        <is>
          <t>1 a 5</t>
        </is>
      </c>
      <c r="B23" s="22" t="inlineStr">
        <is>
          <t>Bajo</t>
        </is>
      </c>
      <c r="C23" s="22" t="inlineStr">
        <is>
          <t>Se acepta y se monitorea en la retrospectiva de cada sprint</t>
        </is>
      </c>
    </row>
    <row r="24" ht="57" customHeight="1">
      <c r="A24" s="4" t="inlineStr">
        <is>
          <t>6 a 10</t>
        </is>
      </c>
      <c r="B24" s="22" t="inlineStr">
        <is>
          <t>Medio</t>
        </is>
      </c>
      <c r="C24" s="22" t="inlineStr">
        <is>
          <t>Requiere acciones de mitigación planificadas y un responsable asignado</t>
        </is>
      </c>
    </row>
    <row r="25" ht="54.75" customHeight="1">
      <c r="A25" s="4" t="inlineStr">
        <is>
          <t>11 a 15</t>
        </is>
      </c>
      <c r="B25" s="22" t="inlineStr">
        <is>
          <t>Alto</t>
        </is>
      </c>
      <c r="C25" s="22" t="inlineStr">
        <is>
          <t>Requiere acciones de mitigación inmediatas y seguimiento semanal</t>
        </is>
      </c>
    </row>
    <row r="26" ht="58.5" customHeight="1">
      <c r="A26" s="4" t="inlineStr">
        <is>
          <t>16 a 25</t>
        </is>
      </c>
      <c r="B26" s="22" t="inlineStr">
        <is>
          <t>Crítico</t>
        </is>
      </c>
      <c r="C26" s="22" t="inlineStr">
        <is>
          <t>Requiere plan de acción antes de continuar y escalamiento al docente guía</t>
        </is>
      </c>
    </row>
    <row r="29">
      <c r="A29" s="14" t="inlineStr">
        <is>
          <t>4. Estrategias de respuesta</t>
        </is>
      </c>
    </row>
    <row r="30">
      <c r="A30" s="3" t="inlineStr">
        <is>
          <t>Estrategia</t>
        </is>
      </c>
      <c r="B30" s="3" t="inlineStr">
        <is>
          <t>Definición</t>
        </is>
      </c>
      <c r="C30" s="3" t="inlineStr">
        <is>
          <t>Cuándo se aplica</t>
        </is>
      </c>
    </row>
    <row r="31" ht="70.5" customHeight="1">
      <c r="A31" s="4" t="inlineStr">
        <is>
          <t>Evitar</t>
        </is>
      </c>
      <c r="B31" s="22" t="inlineStr">
        <is>
          <t>Se modifica el plan o el diseño para eliminar la causa del riesgo</t>
        </is>
      </c>
      <c r="C31" s="22" t="inlineStr">
        <is>
          <t>Riesgos de severidad alta o crítica cuya causa está bajo control del equipo</t>
        </is>
      </c>
    </row>
    <row r="32" ht="57" customHeight="1">
      <c r="A32" s="4" t="inlineStr">
        <is>
          <t>Mitigar</t>
        </is>
      </c>
      <c r="B32" s="22" t="inlineStr">
        <is>
          <t>Se reduce la probabilidad o el impacto mediante acciones preventivas</t>
        </is>
      </c>
      <c r="C32" s="22" t="inlineStr">
        <is>
          <t>Estrategia por defecto para la mayoría de los riesgos del proyecto</t>
        </is>
      </c>
    </row>
    <row r="33" ht="56.25" customHeight="1">
      <c r="A33" s="4" t="inlineStr">
        <is>
          <t>Transferir</t>
        </is>
      </c>
      <c r="B33" s="22" t="inlineStr">
        <is>
          <t>Se traslada la responsabilidad a un tercero o a un servicio administrado</t>
        </is>
      </c>
      <c r="C33" s="22" t="inlineStr">
        <is>
          <t>Cuando existe un proveedor que asume la operación del componente</t>
        </is>
      </c>
    </row>
    <row r="34" ht="57.75" customHeight="1">
      <c r="A34" s="4" t="inlineStr">
        <is>
          <t>Aceptar</t>
        </is>
      </c>
      <c r="B34" s="22" t="inlineStr">
        <is>
          <t>Se asume el riesgo y se define únicamente un plan de contingencia</t>
        </is>
      </c>
      <c r="C34" s="22" t="inlineStr">
        <is>
          <t>Riesgos de severidad baja cuyo costo de mitigación supera al beneficio</t>
        </is>
      </c>
    </row>
    <row r="37">
      <c r="A37" s="14" t="inlineStr">
        <is>
          <t>5. Categorías utilizadas</t>
        </is>
      </c>
    </row>
    <row r="38">
      <c r="A38" s="3" t="inlineStr">
        <is>
          <t>Categoría</t>
        </is>
      </c>
      <c r="B38" s="3" t="inlineStr">
        <is>
          <t>Qué agrupa</t>
        </is>
      </c>
    </row>
    <row r="39" ht="30" customHeight="1">
      <c r="A39" s="4" t="inlineStr">
        <is>
          <t>Alcance</t>
        </is>
      </c>
      <c r="B39" s="22" t="inlineStr">
        <is>
          <t>Riesgos asociados a la definición y el control de lo comprometido</t>
        </is>
      </c>
    </row>
    <row r="40" ht="30" customHeight="1">
      <c r="A40" s="4" t="inlineStr">
        <is>
          <t>Stakeholders</t>
        </is>
      </c>
      <c r="B40" s="22" t="inlineStr">
        <is>
          <t>Riesgos derivados de la relación con la agencia y sus clientes</t>
        </is>
      </c>
    </row>
    <row r="41" ht="30" customHeight="1">
      <c r="A41" s="4" t="inlineStr">
        <is>
          <t>Equipo</t>
        </is>
      </c>
      <c r="B41" s="22" t="inlineStr">
        <is>
          <t>Riesgos de disponibilidad, coordinación y competencias del equipo</t>
        </is>
      </c>
    </row>
    <row r="42" ht="30" customHeight="1">
      <c r="A42" s="4" t="inlineStr">
        <is>
          <t>Planificación</t>
        </is>
      </c>
      <c r="B42" s="22" t="inlineStr">
        <is>
          <t>Riesgos de estimación, secuenciamiento y calendario</t>
        </is>
      </c>
    </row>
    <row r="43" ht="30" customHeight="1">
      <c r="A43" s="4" t="inlineStr">
        <is>
          <t>Técnico</t>
        </is>
      </c>
      <c r="B43" s="22" t="inlineStr">
        <is>
          <t>Riesgos de desarrollo, diseño de datos, rendimiento y compatibilidad</t>
        </is>
      </c>
    </row>
    <row r="44" ht="30" customHeight="1">
      <c r="A44" s="4" t="inlineStr">
        <is>
          <t>Infraestructura</t>
        </is>
      </c>
      <c r="B44" s="22" t="inlineStr">
        <is>
          <t>Riesgos de ambiente, despliegue, respaldo y disponibilidad</t>
        </is>
      </c>
    </row>
    <row r="45" ht="30" customHeight="1">
      <c r="A45" s="4" t="inlineStr">
        <is>
          <t>Seguridad</t>
        </is>
      </c>
      <c r="B45" s="22" t="inlineStr">
        <is>
          <t>Riesgos de acceso, aislamiento de datos y vulnerabilidades</t>
        </is>
      </c>
    </row>
    <row r="46" ht="30" customHeight="1">
      <c r="A46" s="4" t="inlineStr">
        <is>
          <t>Legal / Datos personales</t>
        </is>
      </c>
      <c r="B46" s="22" t="inlineStr">
        <is>
          <t>Riesgos normativos y de tratamiento de datos de terceros</t>
        </is>
      </c>
    </row>
    <row r="47" ht="30" customHeight="1">
      <c r="A47" s="4" t="inlineStr">
        <is>
          <t>IA</t>
        </is>
      </c>
      <c r="B47" s="22" t="inlineStr">
        <is>
          <t>Riesgos propios del uso de modelos generativos</t>
        </is>
      </c>
    </row>
    <row r="48" ht="30" customHeight="1">
      <c r="A48" s="4" t="inlineStr">
        <is>
          <t>Integraciones</t>
        </is>
      </c>
      <c r="B48" s="22" t="inlineStr">
        <is>
          <t>Riesgos de dependencia de servicios y APIs externas</t>
        </is>
      </c>
    </row>
    <row r="49" ht="30" customHeight="1">
      <c r="A49" s="4" t="inlineStr">
        <is>
          <t>Migración de datos</t>
        </is>
      </c>
      <c r="B49" s="22" t="inlineStr">
        <is>
          <t>Riesgos del traspaso de información desde las herramientas actuales</t>
        </is>
      </c>
    </row>
    <row r="50" ht="30" customHeight="1">
      <c r="A50" s="4" t="inlineStr">
        <is>
          <t>Usuario final</t>
        </is>
      </c>
      <c r="B50" s="22" t="inlineStr">
        <is>
          <t>Riesgos derivados del uso y de los errores de las personas que operan el sistema</t>
        </is>
      </c>
    </row>
    <row r="51" ht="30" customHeight="1">
      <c r="A51" s="4" t="inlineStr">
        <is>
          <t>Calidad</t>
        </is>
      </c>
      <c r="B51" s="22" t="inlineStr">
        <is>
          <t>Riesgos de pruebas, datos de prueba y validación previa a la entrega</t>
        </is>
      </c>
    </row>
    <row r="52" ht="30" customHeight="1">
      <c r="A52" s="4" t="inlineStr">
        <is>
          <t>Costos</t>
        </is>
      </c>
      <c r="B52" s="22" t="inlineStr">
        <is>
          <t>Riesgos de consumo y financiamiento de los servicios en la nube</t>
        </is>
      </c>
    </row>
    <row r="53" ht="30" customHeight="1">
      <c r="A53" s="4" t="inlineStr">
        <is>
          <t>Entregables académicos</t>
        </is>
      </c>
      <c r="B53" s="22" t="inlineStr">
        <is>
          <t>Riesgos asociados al cumplimiento de la pauta y la evaluación</t>
        </is>
      </c>
    </row>
    <row r="56">
      <c r="A56" s="14" t="inlineStr">
        <is>
          <t>6. Cómo mantener la planilla</t>
        </is>
      </c>
    </row>
    <row r="57">
      <c r="A57" s="3" t="inlineStr">
        <is>
          <t>Acción</t>
        </is>
      </c>
      <c r="B57" s="3" t="inlineStr">
        <is>
          <t>Frecuencia</t>
        </is>
      </c>
      <c r="C57" s="3" t="inlineStr">
        <is>
          <t>Responsable</t>
        </is>
      </c>
    </row>
    <row r="58" ht="30" customHeight="1">
      <c r="A58" s="22" t="inlineStr">
        <is>
          <t>Revisar el estado de cada riesgo y actualizar la columna «Estado»</t>
        </is>
      </c>
      <c r="B58" s="22" t="inlineStr">
        <is>
          <t>Al cierre de cada sprint (retrospectiva)</t>
        </is>
      </c>
      <c r="C58" s="22" t="inlineStr">
        <is>
          <t>Equipo completo</t>
        </is>
      </c>
    </row>
    <row r="59" ht="30" customHeight="1">
      <c r="A59" s="22" t="inlineStr">
        <is>
          <t>Reevaluar probabilidad e impacto de los riesgos activos</t>
        </is>
      </c>
      <c r="B59" s="22" t="inlineStr">
        <is>
          <t>Al cierre de cada sprint</t>
        </is>
      </c>
      <c r="C59" s="22" t="inlineStr">
        <is>
          <t>Equipo completo</t>
        </is>
      </c>
    </row>
    <row r="60" ht="30" customHeight="1">
      <c r="A60" s="22" t="inlineStr">
        <is>
          <t>Incorporar los riesgos nuevos detectados durante el sprint</t>
        </is>
      </c>
      <c r="B60" s="22" t="inlineStr">
        <is>
          <t>Cuando se detecten</t>
        </is>
      </c>
      <c r="C60" s="22" t="inlineStr">
        <is>
          <t>Quien lo detecta</t>
        </is>
      </c>
    </row>
    <row r="61" ht="30" customHeight="1">
      <c r="A61" s="22" t="inlineStr">
        <is>
          <t>Escalar los riesgos de severidad alta o crítica</t>
        </is>
      </c>
      <c r="B61" s="22" t="inlineStr">
        <is>
          <t>Cuando se materialicen o suban de nivel</t>
        </is>
      </c>
      <c r="C61" s="22" t="inlineStr">
        <is>
          <t>Felipe Gutiérrez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2026-09-20T21:57:26Z</dcterms:created>
  <dcterms:modified xmlns:dcterms="http://purl.org/dc/terms/" xmlns:xsi="http://www.w3.org/2001/XMLSchema-instance" xsi:type="dcterms:W3CDTF">2026-10-13T16:27:41Z</dcterms:modified>
  <cp:lastModifiedBy>felipe gutierrez robinson</cp:lastModifiedBy>
  <cp:revision>0</cp:revision>
</cp:coreProperties>
</file>