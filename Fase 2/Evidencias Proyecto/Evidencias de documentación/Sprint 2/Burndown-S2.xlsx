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rndown S2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\-mm\-yyyy"/>
    <numFmt numFmtId="165" formatCode="0.0;[RED]\-0.0;0"/>
    <numFmt numFmtId="166" formatCode="0.0"/>
    <numFmt numFmtId="167" formatCode="yyyy-mm-dd h:mm:ss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color rgb="FF404040"/>
      <sz val="9"/>
    </font>
    <font>
      <name val="Arial"/>
      <family val="2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left" vertical="center" wrapText="1"/>
    </xf>
    <xf numFmtId="1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1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C00000"/>
      </font>
    </dxf>
    <dxf>
      <font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Sprint 2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 S2'!C5</f>
            </strRef>
          </tx>
          <spPr>
            <a:ln xmlns:a="http://schemas.openxmlformats.org/drawingml/2006/main" w="280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S2'!$A$6:$A$19</f>
            </numRef>
          </cat>
          <val>
            <numRef>
              <f>'Burndown S2'!$C$6:$C$19</f>
            </numRef>
          </val>
          <smooth val="0"/>
        </ser>
        <ser>
          <idx val="1"/>
          <order val="1"/>
          <tx>
            <strRef>
              <f>'Burndown S2'!D5</f>
            </strRef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S2'!$A$6:$A$19</f>
            </numRef>
          </cat>
          <val>
            <numRef>
              <f>'Burndown S2'!$D$6:$D$19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 del 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C3" authorId="0" shapeId="0">
      <text>
        <t>Debe ser igual al TOTAL del Sprint-Backlog-S1. Si se replanifica, cambia este valor.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R2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5" topLeftCell="A6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7" min="1" max="1"/>
    <col width="17" customWidth="1" style="17" min="2" max="2"/>
    <col width="15" customWidth="1" style="17" min="3" max="5"/>
    <col width="48" customWidth="1" style="17" min="6" max="6"/>
  </cols>
  <sheetData>
    <row r="1" ht="25.5" customHeight="1" s="18">
      <c r="A1" s="19" t="inlineStr">
        <is>
          <t>BURNDOWN — SPRINT 2</t>
        </is>
      </c>
    </row>
    <row r="2" ht="15" customHeight="1" s="18">
      <c r="A2" s="20" t="inlineStr">
        <is>
          <t>Período: 5 de octubre — 23 de octubre de 2026 (por confirmar)  |  Días hábiles: 14 (excluye el feriado del 12 de octubre)</t>
        </is>
      </c>
    </row>
    <row r="3" ht="15" customHeight="1" s="18">
      <c r="A3" s="21" t="inlineStr">
        <is>
          <t>Story points comprometidos:</t>
        </is>
      </c>
      <c r="C3" s="22" t="n">
        <v>65</v>
      </c>
    </row>
    <row r="4" s="18"/>
    <row r="5" ht="30" customHeight="1" s="18">
      <c r="A5" s="23" t="inlineStr">
        <is>
          <t>Día</t>
        </is>
      </c>
      <c r="B5" s="23" t="inlineStr">
        <is>
          <t>Fecha</t>
        </is>
      </c>
      <c r="C5" s="23" t="inlineStr">
        <is>
          <t>Puntos restantes (ideal)</t>
        </is>
      </c>
      <c r="D5" s="23" t="inlineStr">
        <is>
          <t>Puntos restantes (real)</t>
        </is>
      </c>
      <c r="E5" s="23" t="inlineStr">
        <is>
          <t>Diferencia (real − ideal)</t>
        </is>
      </c>
      <c r="F5" s="23" t="inlineStr">
        <is>
          <t>Nota del día</t>
        </is>
      </c>
    </row>
    <row r="6" ht="30" customHeight="1" s="18">
      <c r="A6" s="24" t="n">
        <v>1</v>
      </c>
      <c r="B6" s="25" t="n">
        <v>46300</v>
      </c>
      <c r="C6" s="24">
        <f>ROUND($C$3-$C$3*(A6-1)/(14-1),1)</f>
        <v/>
      </c>
      <c r="D6" s="26" t="n">
        <v>58</v>
      </c>
      <c r="E6" s="27">
        <f>IF(D6="","",D6-C6)</f>
        <v/>
      </c>
      <c r="F6" s="28" t="inlineStr">
        <is>
          <t>Corte 5 oct según Trello: PC-PRO-01 y PC-PRO-02 en Hecho (7 pts). Recalculado con 65 pts (eran 50 de 57).</t>
        </is>
      </c>
    </row>
    <row r="7" ht="15" customHeight="1" s="18">
      <c r="A7" s="24" t="n">
        <v>2</v>
      </c>
      <c r="B7" s="25" t="n">
        <v>46301</v>
      </c>
      <c r="C7" s="24">
        <f>ROUND($C$3-$C$3*(A7-1)/(14-1),1)</f>
        <v/>
      </c>
      <c r="D7" s="26" t="n">
        <v>58</v>
      </c>
      <c r="E7" s="27">
        <f>IF(D7="","",D7-C7)</f>
        <v/>
      </c>
      <c r="F7" s="28" t="inlineStr">
        <is>
          <t>Sin historias nuevas en Hecho.</t>
        </is>
      </c>
    </row>
    <row r="8" ht="15" customHeight="1" s="18">
      <c r="A8" s="24" t="n">
        <v>3</v>
      </c>
      <c r="B8" s="25" t="n">
        <v>46302</v>
      </c>
      <c r="C8" s="24">
        <f>ROUND($C$3-$C$3*(A8-1)/(14-1),1)</f>
        <v/>
      </c>
      <c r="D8" s="26" t="n">
        <v>58</v>
      </c>
      <c r="E8" s="27">
        <f>IF(D8="","",D8-C8)</f>
        <v/>
      </c>
      <c r="F8" s="28" t="inlineStr">
        <is>
          <t>Sin historias nuevas en Hecho.</t>
        </is>
      </c>
    </row>
    <row r="9" ht="15" customHeight="1" s="18">
      <c r="A9" s="24" t="n">
        <v>4</v>
      </c>
      <c r="B9" s="25" t="n">
        <v>46303</v>
      </c>
      <c r="C9" s="24">
        <f>ROUND($C$3-$C$3*(A9-1)/(14-1),1)</f>
        <v/>
      </c>
      <c r="D9" s="26" t="n">
        <v>58</v>
      </c>
      <c r="E9" s="27">
        <f>IF(D9="","",D9-C9)</f>
        <v/>
      </c>
      <c r="F9" s="28" t="inlineStr">
        <is>
          <t>Sin historias nuevas en Hecho.</t>
        </is>
      </c>
    </row>
    <row r="10" ht="15" customHeight="1" s="18">
      <c r="A10" s="24" t="n">
        <v>5</v>
      </c>
      <c r="B10" s="25" t="n">
        <v>46304</v>
      </c>
      <c r="C10" s="24">
        <f>ROUND($C$3-$C$3*(A10-1)/(14-1),1)</f>
        <v/>
      </c>
      <c r="D10" s="26" t="n">
        <v>58</v>
      </c>
      <c r="E10" s="27">
        <f>IF(D10="","",D10-C10)</f>
        <v/>
      </c>
      <c r="F10" s="28" t="inlineStr">
        <is>
          <t>Corte 11 oct (Trello): 0 pts en la semana S9.</t>
        </is>
      </c>
    </row>
    <row r="11" ht="30" customHeight="1" s="18">
      <c r="A11" s="24" t="n">
        <v>6</v>
      </c>
      <c r="B11" s="25" t="n">
        <v>46308</v>
      </c>
      <c r="C11" s="24">
        <f>ROUND($C$3-$C$3*(A11-1)/(14-1),1)</f>
        <v/>
      </c>
      <c r="D11" s="26" t="n">
        <v>58</v>
      </c>
      <c r="E11" s="27">
        <f>IF(D11="","",D11-C11)</f>
        <v/>
      </c>
      <c r="F11" s="28" t="inlineStr">
        <is>
          <t>13 oct: PC-IA-01 (8 pts) se incorpora al sprint; sigue sin validar. Quedan 58 pts.</t>
        </is>
      </c>
    </row>
    <row r="12" ht="15" customHeight="1" s="18">
      <c r="A12" s="24" t="n">
        <v>7</v>
      </c>
      <c r="B12" s="25" t="n">
        <v>46309</v>
      </c>
      <c r="C12" s="24">
        <f>ROUND($C$3-$C$3*(A12-1)/(14-1),1)</f>
        <v/>
      </c>
      <c r="D12" s="26" t="n"/>
      <c r="E12" s="27">
        <f>IF(D12="","",D12-C12)</f>
        <v/>
      </c>
      <c r="F12" s="28" t="n"/>
    </row>
    <row r="13" ht="15" customHeight="1" s="18">
      <c r="A13" s="24" t="n">
        <v>8</v>
      </c>
      <c r="B13" s="25" t="n">
        <v>46310</v>
      </c>
      <c r="C13" s="24">
        <f>ROUND($C$3-$C$3*(A13-1)/(14-1),1)</f>
        <v/>
      </c>
      <c r="D13" s="26" t="n"/>
      <c r="E13" s="27">
        <f>IF(D13="","",D13-C13)</f>
        <v/>
      </c>
      <c r="F13" s="28" t="n"/>
    </row>
    <row r="14" ht="15" customHeight="1" s="18">
      <c r="A14" s="24" t="n">
        <v>9</v>
      </c>
      <c r="B14" s="25" t="n">
        <v>46311</v>
      </c>
      <c r="C14" s="24">
        <f>ROUND($C$3-$C$3*(A14-1)/(14-1),1)</f>
        <v/>
      </c>
      <c r="D14" s="26" t="n"/>
      <c r="E14" s="27">
        <f>IF(D14="","",D14-C14)</f>
        <v/>
      </c>
      <c r="F14" s="28" t="n"/>
    </row>
    <row r="15" ht="15" customHeight="1" s="18">
      <c r="A15" s="24" t="n">
        <v>10</v>
      </c>
      <c r="B15" s="25" t="n">
        <v>46314</v>
      </c>
      <c r="C15" s="24">
        <f>ROUND($C$3-$C$3*(A15-1)/(14-1),1)</f>
        <v/>
      </c>
      <c r="D15" s="26" t="n"/>
      <c r="E15" s="27">
        <f>IF(D15="","",D15-C15)</f>
        <v/>
      </c>
      <c r="F15" s="28" t="n"/>
    </row>
    <row r="16" ht="15" customHeight="1" s="18">
      <c r="A16" s="24" t="n">
        <v>11</v>
      </c>
      <c r="B16" s="25" t="n">
        <v>46315</v>
      </c>
      <c r="C16" s="24">
        <f>ROUND($C$3-$C$3*(A16-1)/(14-1),1)</f>
        <v/>
      </c>
      <c r="D16" s="26" t="n"/>
      <c r="E16" s="27">
        <f>IF(D16="","",D16-C16)</f>
        <v/>
      </c>
      <c r="F16" s="28" t="n"/>
    </row>
    <row r="17" ht="15" customHeight="1" s="18">
      <c r="A17" s="24" t="n">
        <v>12</v>
      </c>
      <c r="B17" s="25" t="n">
        <v>46316</v>
      </c>
      <c r="C17" s="24">
        <f>ROUND($C$3-$C$3*(A17-1)/(14-1),1)</f>
        <v/>
      </c>
      <c r="D17" s="26" t="n"/>
      <c r="E17" s="27">
        <f>IF(D17="","",D17-C17)</f>
        <v/>
      </c>
      <c r="F17" s="28" t="n"/>
    </row>
    <row r="18" ht="15" customHeight="1" s="18">
      <c r="A18" s="24" t="n">
        <v>13</v>
      </c>
      <c r="B18" s="25" t="n">
        <v>46317</v>
      </c>
      <c r="C18" s="24">
        <f>ROUND($C$3-$C$3*(A18-1)/(14-1),1)</f>
        <v/>
      </c>
      <c r="D18" s="26" t="n"/>
      <c r="E18" s="27">
        <f>IF(D18="","",D18-C18)</f>
        <v/>
      </c>
      <c r="F18" s="28" t="n"/>
    </row>
    <row r="19" ht="15" customHeight="1" s="18">
      <c r="A19" s="24" t="n">
        <v>14</v>
      </c>
      <c r="B19" s="25" t="n">
        <v>46318</v>
      </c>
      <c r="C19" s="24">
        <f>ROUND($C$3-$C$3*(A19-1)/(14-1),1)</f>
        <v/>
      </c>
      <c r="D19" s="26" t="n"/>
      <c r="E19" s="27">
        <f>IF(D19="","",D19-C19)</f>
        <v/>
      </c>
      <c r="F19" s="28" t="n"/>
    </row>
    <row r="20" s="18"/>
    <row r="21" ht="15" customHeight="1" s="18">
      <c r="A21" s="29" t="inlineStr">
        <is>
          <t>Resumen (se calcula solo)</t>
        </is>
      </c>
    </row>
    <row r="22" ht="15" customHeight="1" s="18">
      <c r="A22" s="30" t="inlineStr">
        <is>
          <t>Días hábiles del sprint</t>
        </is>
      </c>
      <c r="B22" s="31" t="n"/>
      <c r="C22" s="32">
        <f>COUNT(B6:B19)</f>
        <v/>
      </c>
    </row>
    <row r="23" ht="15" customHeight="1" s="18">
      <c r="A23" s="30" t="inlineStr">
        <is>
          <t>Días registrados</t>
        </is>
      </c>
      <c r="B23" s="31" t="n"/>
      <c r="C23" s="32">
        <f>COUNT(D6:D19)</f>
        <v/>
      </c>
    </row>
    <row r="24" ht="15" customHeight="1" s="18">
      <c r="A24" s="30" t="inlineStr">
        <is>
          <t>Puntos restantes hoy (real)</t>
        </is>
      </c>
      <c r="B24" s="31" t="n"/>
      <c r="C24" s="32">
        <f>IF(C23=0,$C$3,INDEX(D6:D19,C23))</f>
        <v/>
      </c>
    </row>
    <row r="25" ht="15" customHeight="1" s="18">
      <c r="A25" s="30" t="inlineStr">
        <is>
          <t>Puntos terminados</t>
        </is>
      </c>
      <c r="B25" s="31" t="n"/>
      <c r="C25" s="32">
        <f>$C$3-C24</f>
        <v/>
      </c>
    </row>
    <row r="26" ht="15" customHeight="1" s="18">
      <c r="A26" s="30" t="inlineStr">
        <is>
          <t>Puntos restantes hoy (ideal)</t>
        </is>
      </c>
      <c r="B26" s="31" t="n"/>
      <c r="C26" s="33">
        <f>IF(C23=0,$C$3,INDEX(C6:C19,C23))</f>
        <v/>
      </c>
    </row>
    <row r="27" ht="15" customHeight="1" s="18">
      <c r="A27" s="30" t="inlineStr">
        <is>
          <t>Atraso respecto del ideal (pts)</t>
        </is>
      </c>
      <c r="B27" s="31" t="n"/>
      <c r="C27" s="33">
        <f>C24-C26</f>
        <v/>
      </c>
    </row>
    <row r="28" ht="15" customHeight="1" s="18">
      <c r="A28" s="30" t="inlineStr">
        <is>
          <t>Días hábiles que quedan</t>
        </is>
      </c>
      <c r="B28" s="31" t="n"/>
      <c r="C28" s="32">
        <f>C22-C23</f>
        <v/>
      </c>
    </row>
    <row r="29" s="18"/>
    <row r="30" ht="15" customHeight="1" s="18">
      <c r="A30" s="34" t="inlineStr">
        <is>
          <t>Notas</t>
        </is>
      </c>
    </row>
    <row r="31" ht="25.5" customHeight="1" s="18">
      <c r="A31" s="36" t="inlineStr">
        <is>
          <t>• Cómo usar: cada día hábil anota en "Puntos restantes (real)" los story points que aún no están en Hecho. Deja en blanco los días futuros.</t>
        </is>
      </c>
    </row>
    <row r="32" ht="25.5" customHeight="1" s="18">
      <c r="A32" s="36" t="inlineStr">
        <is>
          <t>• Los puntos solo bajan cuando una historia completa pasa a Hecho; las tareas sin puntos (extensión de BD, mejoras, documentos) no restan puntos.</t>
        </is>
      </c>
    </row>
    <row r="33" ht="25.5" customHeight="1" s="18">
      <c r="A33" s="36" t="inlineStr">
        <is>
          <t>• Comprometidos: 65 pts = 57 pts originales + PC-IA-01 (8 pts), adelantada del Sprint 4 el 13 oct por decisión del equipo. Los días 1 a 5 se recalcularon con el nuevo total (58 pts restantes, antes 50 de 57) para que el ideal y el real sean comparables. PC-TEC-03 sigue fuera del alcance.</t>
        </is>
      </c>
    </row>
    <row r="34" ht="25.5" customHeight="1" s="18">
      <c r="A34" s="36" t="inlineStr">
        <is>
          <t>• Fechas propuestas según la Carta Gantt (S9–S11). El 12 de octubre (feriado) no se cuenta como día hábil; si el equipo trabaja ese día, agregar la fila y ajustar el 14 de la fórmula del ideal.</t>
        </is>
      </c>
    </row>
    <row r="35" ht="25.5" customHeight="1" s="18">
      <c r="A35" s="36" t="inlineStr">
        <is>
          <t>• Los puntos se queman solo cuando la tarjeta está en Hecho en Trello. Historias con avance construido pero aún sin validar (COT-01/02, CLI-02, AUT-05, TEC-04) o en revisión (CLI-01, AUT-04) no restan puntos todavía. PC-IA-01 (construida, sin validar; casos CP-057, CP-061 y CP-062 por ejecutar) tampoco resta.</t>
        </is>
      </c>
    </row>
    <row r="36" s="18"/>
    <row r="37" s="18"/>
    <row r="38" s="18"/>
    <row r="39" s="18"/>
    <row r="40" s="18"/>
    <row r="41" s="18"/>
    <row r="42" s="18"/>
    <row r="43" s="18"/>
    <row r="44" s="18"/>
    <row r="45" s="18"/>
    <row r="46" s="18"/>
    <row r="47" s="18"/>
    <row r="48" s="18"/>
    <row r="49" s="18"/>
    <row r="50" s="18"/>
    <row r="51" s="18"/>
    <row r="52" s="18"/>
    <row r="53" s="18"/>
    <row r="54" s="18"/>
    <row r="55" s="18"/>
    <row r="56" s="18"/>
    <row r="57" s="18"/>
    <row r="58" s="18"/>
    <row r="59" s="18"/>
    <row r="60" s="18"/>
    <row r="200"/>
  </sheetData>
  <mergeCells count="15">
    <mergeCell ref="A26:B26"/>
    <mergeCell ref="A24:B24"/>
    <mergeCell ref="A31:F31"/>
    <mergeCell ref="A34:F34"/>
    <mergeCell ref="A23:B23"/>
    <mergeCell ref="A22:B22"/>
    <mergeCell ref="A2:F2"/>
    <mergeCell ref="A33:F33"/>
    <mergeCell ref="A25:B25"/>
    <mergeCell ref="A1:F1"/>
    <mergeCell ref="A32:F32"/>
    <mergeCell ref="A28:B28"/>
    <mergeCell ref="A35:F35"/>
    <mergeCell ref="A27:B27"/>
    <mergeCell ref="A3:B3"/>
  </mergeCells>
  <conditionalFormatting sqref="E6:E19">
    <cfRule type="cellIs" priority="2" operator="greaterThan" dxfId="1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2026-09-24T15:01:37Z</dcterms:created>
  <dcterms:modified xmlns:dcterms="http://purl.org/dc/terms/" xmlns:xsi="http://www.w3.org/2001/XMLSchema-instance" xsi:type="dcterms:W3CDTF">2026-10-05T16:38:48Z</dcterms:modified>
  <cp:revision>1</cp:revision>
</cp:coreProperties>
</file>