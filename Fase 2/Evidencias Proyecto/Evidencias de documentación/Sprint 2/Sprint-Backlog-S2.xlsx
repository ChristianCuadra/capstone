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print Backlog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<sst xmlns="http://schemas.openxmlformats.org/spreadsheetml/2006/main" count="144" uniqueCount="102">
  <si>
    <t xml:space="preserve">SPRINT BACKLOG — SPRINT 2 · Gestión comercial</t>
  </si>
  <si>
    <t xml:space="preserve">Período: 5 de octubre — 23 de octubre de 2026 (S9–S11 de la Carta Gantt)  |  Estado al cierre: 23 de octubre de 2026</t>
  </si>
  <si>
    <t xml:space="preserve">1. Historias de usuario comprometidas</t>
  </si>
  <si>
    <t xml:space="preserve">ID</t>
  </si>
  <si>
    <t xml:space="preserve">Historia</t>
  </si>
  <si>
    <t xml:space="preserve">Story Points</t>
  </si>
  <si>
    <t xml:space="preserve">Prioridad</t>
  </si>
  <si>
    <t xml:space="preserve">Responsable</t>
  </si>
  <si>
    <t xml:space="preserve">Depende de</t>
  </si>
  <si>
    <t xml:space="preserve">Estado</t>
  </si>
  <si>
    <t xml:space="preserve">Fecha término</t>
  </si>
  <si>
    <t xml:space="preserve">PC-AUT-04</t>
  </si>
  <si>
    <t xml:space="preserve">Colaboradora solo ve sus clientes</t>
  </si>
  <si>
    <t xml:space="preserve">Alta</t>
  </si>
  <si>
    <t xml:space="preserve">Grupal (guía propuesto: Christian)</t>
  </si>
  <si>
    <t xml:space="preserve">Modelo BD (extensión), PC-AUT-03</t>
  </si>
  <si>
    <t xml:space="preserve">Hecho</t>
  </si>
  <si>
    <t xml:space="preserve">PC-AUT-05</t>
  </si>
  <si>
    <t xml:space="preserve">Cliente solo ve su empresa</t>
  </si>
  <si>
    <t xml:space="preserve">Grupal (guía por definir)</t>
  </si>
  <si>
    <t xml:space="preserve">PC-PRO-01</t>
  </si>
  <si>
    <t xml:space="preserve">Prospectos en lista y kanban</t>
  </si>
  <si>
    <t xml:space="preserve">Por definir</t>
  </si>
  <si>
    <t xml:space="preserve">PC-CAP-01</t>
  </si>
  <si>
    <t xml:space="preserve">PC-PRO-02</t>
  </si>
  <si>
    <t xml:space="preserve">Registro manual de prospecto</t>
  </si>
  <si>
    <t xml:space="preserve">Media</t>
  </si>
  <si>
    <t xml:space="preserve">PC-COT-01</t>
  </si>
  <si>
    <t xml:space="preserve">Cotizador en línea</t>
  </si>
  <si>
    <t xml:space="preserve">PC-CAP-01, PC-CAT-01</t>
  </si>
  <si>
    <t xml:space="preserve">PC-COT-02</t>
  </si>
  <si>
    <t xml:space="preserve">Revisión de la cotización</t>
  </si>
  <si>
    <t xml:space="preserve">PC-CLI-01</t>
  </si>
  <si>
    <t xml:space="preserve">Conversión a cliente</t>
  </si>
  <si>
    <t xml:space="preserve">PC-PRO-01, Modelo BD (extensión)</t>
  </si>
  <si>
    <t xml:space="preserve">PC-CLI-02</t>
  </si>
  <si>
    <t xml:space="preserve">Ficha del cliente</t>
  </si>
  <si>
    <t xml:space="preserve">PC-CLI-01, Modelo BD (extensión)</t>
  </si>
  <si>
    <t xml:space="preserve">PC-TEC-04</t>
  </si>
  <si>
    <t xml:space="preserve">Suite de pruebas de aislamiento</t>
  </si>
  <si>
    <t xml:space="preserve">PC-AUT-04, PC-AUT-05, PC-TEC-02</t>
  </si>
  <si>
    <t xml:space="preserve">PC-IA-01</t>
  </si>
  <si>
    <t xml:space="preserve">Diagnóstico de cotización con IA</t>
  </si>
  <si>
    <t xml:space="preserve">Esteban</t>
  </si>
  <si>
    <t xml:space="preserve">PC-COT-01 (el diagnóstico se agrega al cotizador)</t>
  </si>
  <si>
    <t xml:space="preserve">PC-AUT-07</t>
  </si>
  <si>
    <t xml:space="preserve">Activación de cuenta del cliente</t>
  </si>
  <si>
    <t xml:space="preserve">Felipe</t>
  </si>
  <si>
    <t xml:space="preserve">PC-AUT-03, PC-CLI-01</t>
  </si>
  <si>
    <t xml:space="preserve">TOTAL COMPROMETIDO</t>
  </si>
  <si>
    <t xml:space="preserve">2. Tareas del sprint (sin story points)</t>
  </si>
  <si>
    <t xml:space="preserve">Tarea</t>
  </si>
  <si>
    <t xml:space="preserve">Observación</t>
  </si>
  <si>
    <t xml:space="preserve">T-01</t>
  </si>
  <si>
    <t xml:space="preserve">Modelo de Base de Datos · extensión</t>
  </si>
  <si>
    <t xml:space="preserve">Cliente real, TenantModel en entidades del portal, selector de cliente activo (colaboradora) y modelo de content. Bloquea PC-AUT-04/05 y PC-CLI-01/02. · 20 oct: dada por Hecha en la reunión interna del equipo.</t>
  </si>
  <si>
    <t xml:space="preserve">T-02</t>
  </si>
  <si>
    <t xml:space="preserve">PC-SEO-01b · Metadatos del CMS publicados en el sitio</t>
  </si>
  <si>
    <t xml:space="preserve">Enganche dinámico de título/descripción del CMS con el sitio. Extensión de PC-SEO-01 (cerrada en S1); sin puntos. · 20 oct: dada por Hecha en la reunión interna del equipo.</t>
  </si>
  <si>
    <t xml:space="preserve">T-03</t>
  </si>
  <si>
    <t xml:space="preserve">MEJORA · Correcciones de la página (QA antes de producción)</t>
  </si>
  <si>
    <t xml:space="preserve">Equipo</t>
  </si>
  <si>
    <t xml:space="preserve">Checklist de 10 fallos en Trello (flechas, enlaces que caen en el admin de Django, usuarios sin rol, etc.). Sin puntos. · 11 oct: escaneo completo de la plataforma; corregidos permisos del catálogo solo administradora (7edabf5), origen UTM del prospecto y «Novedades» en el menú (6597b2b) y precios con aviso «+ IVA» (3015393).</t>
  </si>
  <si>
    <t xml:space="preserve">En proceso</t>
  </si>
  <si>
    <t xml:space="preserve">T-04</t>
  </si>
  <si>
    <t xml:space="preserve">MEJORA · Ajustes de identidad visual pedidos por la agencia</t>
  </si>
  <si>
    <t xml:space="preserve">Esteban (contacto) + equipo</t>
  </si>
  <si>
    <t xml:space="preserve">Origen: Sprint Review S1 (27 sep). Depende de que la agencia envíe frases y colores. Sin puntos. · 11 oct: asesoría gratuita destacada: «Más información» conectado a la nueva página /asesoria-gratuita/ (6597b2b). Faltan frases, colores, más CTA de cotización y logo.</t>
  </si>
  <si>
    <t xml:space="preserve">T-05</t>
  </si>
  <si>
    <t xml:space="preserve">Documentación S2 (9 documentos, una tarjeta por documento en Trello)</t>
  </si>
  <si>
    <t xml:space="preserve">Felipe: Bloque A · Rotación B/C por confirmar</t>
  </si>
  <si>
    <t xml:space="preserve">Rotación de documentos pendiente de confirmar entre Christian y Esteban. · 22 oct: Sprint Backlog, Burndown, Kanban, Impediment Log e Incremento Funcional en proceso en Trello; Daily Meetings, Registro de Reuniones con la Agencia, Acta Review y Acta Retrospective por hacer. · 26 oct: cerrados Sprint Backlog, Burndown, Kanban, Incremento Funcional y Acta de Retrospective. Falta el Acta de Sprint Review (reunión formal con la agencia por agendar). Daily Meetings y Registro de Reuniones con la Agencia corresponden a los compañeros.</t>
  </si>
  <si>
    <t xml:space="preserve">T-06</t>
  </si>
  <si>
    <t xml:space="preserve">MEJORA · Correcciones de seguridad (panel interno y prospectos)</t>
  </si>
  <si>
    <t xml:space="preserve">Hecho el 12 oct. (1) El acceso al panel interno depende del rol del usuario, ya no de la casilla "Es del equipo"; el formulario de usuarios no permite marcarla en un cliente. (2) Los formularios públicos de cotización y asesoría solo completan campos vacíos de un prospecto existente; cualquier dato distinto queda en el historial para que el equipo decida. Sin puntos.</t>
  </si>
  <si>
    <t xml:space="preserve">T-07</t>
  </si>
  <si>
    <t xml:space="preserve">MEJORA · Ajustes de la IA (rendimiento, texto limpio, pruebas)</t>
  </si>
  <si>
    <t xml:space="preserve">Hecho el 12 oct. Modelo lite con razonamiento bajo (diagnóstico de 18–50 s a unos 3 s); texto sin saludo ni símbolos ### o **; reintento automático ante saturación de Google; sin reintento al llegar al límite de cuota, con aviso de cuándo se renueva; mensajes de error en español y detalle técnico en el registro de auditoría; pruebas automáticas que nunca llaman a Gemini (suite de 42 a 2 s). Detalle de la historia: PC-IA-01. Sin puntos.</t>
  </si>
  <si>
    <t xml:space="preserve">3. Resumen (se calcula solo)</t>
  </si>
  <si>
    <t xml:space="preserve">Story points comprometidos</t>
  </si>
  <si>
    <t xml:space="preserve">Story points terminados (Hecho)</t>
  </si>
  <si>
    <t xml:space="preserve">Story points trasladados a S3</t>
  </si>
  <si>
    <t xml:space="preserve">% de avance (puntos)</t>
  </si>
  <si>
    <t xml:space="preserve">Historias por hacer</t>
  </si>
  <si>
    <t xml:space="preserve">Historias en proceso</t>
  </si>
  <si>
    <t xml:space="preserve">Historias en revisión</t>
  </si>
  <si>
    <t xml:space="preserve">Historias terminadas</t>
  </si>
  <si>
    <t xml:space="preserve">Notas</t>
  </si>
  <si>
    <t xml:space="preserve">• Cómo usar: rellena solo las celdas amarillas (Responsable, Estado y Fecha término). El resumen se recalcula solo.</t>
  </si>
  <si>
    <t xml:space="preserve">• Estados: Por hacer · En proceso · En revisión · Hecho · Trasladado a S3 (mismos nombres que las listas de Trello).</t>
  </si>
  <si>
    <t xml:space="preserve">• Una historia pasa a "Hecho" solo si cumple sus criterios de aceptación del Product Backlog.</t>
  </si>
  <si>
    <t xml:space="preserve">• Fuente de historias y puntos: Product Backlog (Iteración = Sprint 2). Total: 70 pts = 57 pts originales + PC-IA-01 (8 pts), adelantada del Sprint 4 al Sprint 2 el 13 oct por decisión del equipo (el sprint tenía pocos puntos) + PC-AUT-07 (5 pts), incorporada el 22 oct. PC-TEC-03 (ambiente de pruebas en GCP, 5 pts) fue sacada del alcance por decisión del equipo y no se arrastra desde S1.</t>
  </si>
  <si>
    <t xml:space="preserve">• Estado según Trello al 5 oct: PC-PRO-01 y PC-PRO-02 en Hecho; PC-CLI-01 y PC-AUT-04 en En revisión. PC-COT-01, PC-COT-02, PC-CLI-02, PC-AUT-05 y PC-TEC-04 aparecen en Por hacer en Trello aunque tienen avance construido en el código (pruebas automáticas en verde); pasan a En revisión/Hecho solo tras validarlas contra sus criterios de aceptación.</t>
  </si>
  <si>
    <t xml:space="preserve">• Responsables "por definir" no están asignados todavía; confirmarlos en la planificación del sprint con el equipo.</t>
  </si>
  <si>
    <t xml:space="preserve">• Corte 11 oct (fin de semana S9): ninguna historia cambió de estado (0 pts quemados en la semana; restan 50). T-03 y T-04 pasan a En proceso, igual que en Trello. Commits en felipe-dev: 7edabf5, 6597b2b y 3015393.</t>
  </si>
  <si>
    <t xml:space="preserve">• Cambio de alcance 13 oct: PC-IA-01 pasa al Sprint 2 (compromiso 57 → 65 pts). El 12 oct Esteban dejó construida la conexión con Gemini (clave de Google AI Studio) y probó el diagnóstico de cotización con la API real, con los planes y precios del catálogo. Sigue en Por hacer y no resta puntos: falta validarla contra sus criterios (casos CP-057, CP-061 y CP-062 por ejecutar). La administradora revisa cada diagnóstico antes de que llegue al cliente; aún no es una regla del sistema (PC-IA-04, Sprint 4).</t>
  </si>
  <si>
    <t xml:space="preserve">• Corte 22 oct: en la reunión interna del martes 20 oct (asistieron Felipe, Esteban y Christian) el equipo dio por Hecho todo lo que estaba En revisión: PC-AUT-04, PC-AUT-05, PC-TEC-04, PC-COT-01, PC-COT-02, PC-CLI-01 y PC-CLI-02 (50 pts) y las tareas T-01 y T-02. Las tarjetas se movieron en Trello el 22 oct; la fecha de término registrada es la de la decisión (20 oct).</t>
  </si>
  <si>
    <t xml:space="preserve">• PC-IA-01 (8 pts): técnicamente lista; se registra como Hecha el 20 oct. Se detectó un problema: la API de Gemini, que se usaba en la capa gratuita de Google AI Studio, empezó a generar cobros (ver Impediment Log I-007). Los casos CP-057, CP-061 y CP-062 no tienen ejecución registrada todavía.</t>
  </si>
  <si>
    <t xml:space="preserve">• Cambio de alcance 22 oct: PC-AUT-07 · Activación de cuenta del cliente (5 pts) se incorpora al sprint (65 → 70 pts), decidido el 22 oct. Mantiene el registro cerrado: la administradora crea la cuenta desde la ficha del cliente y la persona la activa con un enlace por correo. Construida en felipe-dev (commit b081807) con 11 pruebas automáticas; En proceso hasta probarla en el navegador. Pendiente presentarla a la agencia.</t>
  </si>
  <si>
    <t xml:space="preserve">• Resultado al 22 oct: 65 de 70 pts en Hecho (92,9%); restan 5 pts (PC-AUT-07). Fuera de las historias, «PENDIENTE · Configurar envío de correos (producción)» queda En revisión, a cargo de Christian.</t>
  </si>
  <si>
    <t xml:space="preserve">• Cierre 23 oct: PC-AUT-07 · Activación de cuenta del cliente pasa a Hecho; el Sprint 2 cierra con 70 de 70 pts (100%). Retrospective interna el 22 oct (Felipe, Esteban y Christian). La Sprint Review formal con la agencia está por agendar (Esteban); una conversación informal del 24 oct no se cuenta como Review.</t>
  </si>
  <si>
    <t xml:space="preserve">• Pasan al Sprint 3 (sin puntos): MEJORA · Correcciones de la página, MEJORA · Ajustes de identidad visual (espera frases y colores de la agencia), PENDIENTE · Configurar envío de correos (producción, Christian) e impedimento I-007 (cobros de la API de Gemini).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</si>
</sst>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\-mm\-yyyy"/>
    <numFmt numFmtId="166" formatCode="yyyy\-mm\-dd\ h:mm:ss"/>
    <numFmt numFmtId="167" formatCode="General"/>
    <numFmt numFmtId="168" formatCode="0"/>
    <numFmt numFmtId="169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10"/>
      <color rgb="FF404040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1F4E78"/>
      <name val="Arial"/>
      <family val="0"/>
      <charset val="1"/>
    </font>
    <font>
      <sz val="9"/>
      <color rgb="FF40404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DDEBF7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F2F2F2"/>
        </patternFill>
      </fill>
    </dxf>
    <dxf>
      <fill>
        <patternFill>
          <bgColor rgb="FFFFEB9C"/>
        </patternFill>
      </fill>
    </dxf>
    <dxf>
      <fill>
        <patternFill>
          <bgColor rgb="FFDDEBF7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38"/>
    <col collapsed="false" customWidth="true" hidden="false" outlineLevel="0" max="3" min="3" style="1" width="11"/>
    <col collapsed="false" customWidth="true" hidden="false" outlineLevel="0" max="4" min="4" style="1" width="10"/>
    <col collapsed="false" customWidth="true" hidden="false" outlineLevel="0" max="6" min="5" style="1" width="30"/>
    <col collapsed="false" customWidth="true" hidden="false" outlineLevel="0" max="7" min="7" style="1" width="15"/>
    <col collapsed="false" customWidth="true" hidden="false" outlineLevel="0" max="8" min="8" style="1" width="13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A4" s="4" t="s">
        <v>2</v>
      </c>
    </row>
    <row r="5" customFormat="false" ht="23.2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</row>
    <row r="6" customFormat="false" ht="30" hidden="false" customHeight="true" outlineLevel="0" collapsed="false">
      <c r="A6" s="6" t="s">
        <v>11</v>
      </c>
      <c r="B6" s="7" t="s">
        <v>12</v>
      </c>
      <c r="C6" s="8" t="n">
        <v>8</v>
      </c>
      <c r="D6" s="8" t="s">
        <v>13</v>
      </c>
      <c r="E6" s="9" t="s">
        <v>14</v>
      </c>
      <c r="F6" s="7" t="s">
        <v>15</v>
      </c>
      <c r="G6" s="10" t="s">
        <v>16</v>
      </c>
      <c r="H6" s="11" t="n">
        <v>46315</v>
      </c>
    </row>
    <row r="7" customFormat="false" ht="30" hidden="false" customHeight="true" outlineLevel="0" collapsed="false">
      <c r="A7" s="6" t="s">
        <v>17</v>
      </c>
      <c r="B7" s="7" t="s">
        <v>18</v>
      </c>
      <c r="C7" s="8" t="n">
        <v>8</v>
      </c>
      <c r="D7" s="8" t="s">
        <v>13</v>
      </c>
      <c r="E7" s="9" t="s">
        <v>19</v>
      </c>
      <c r="F7" s="7" t="s">
        <v>15</v>
      </c>
      <c r="G7" s="10" t="s">
        <v>16</v>
      </c>
      <c r="H7" s="11" t="n">
        <v>46315</v>
      </c>
    </row>
    <row r="8" customFormat="false" ht="30" hidden="false" customHeight="true" outlineLevel="0" collapsed="false">
      <c r="A8" s="6" t="s">
        <v>20</v>
      </c>
      <c r="B8" s="7" t="s">
        <v>21</v>
      </c>
      <c r="C8" s="8" t="n">
        <v>5</v>
      </c>
      <c r="D8" s="8" t="s">
        <v>13</v>
      </c>
      <c r="E8" s="9" t="s">
        <v>22</v>
      </c>
      <c r="F8" s="7" t="s">
        <v>23</v>
      </c>
      <c r="G8" s="10" t="s">
        <v>16</v>
      </c>
      <c r="H8" s="12"/>
    </row>
    <row r="9" customFormat="false" ht="30" hidden="false" customHeight="true" outlineLevel="0" collapsed="false">
      <c r="A9" s="6" t="s">
        <v>24</v>
      </c>
      <c r="B9" s="7" t="s">
        <v>25</v>
      </c>
      <c r="C9" s="8" t="n">
        <v>2</v>
      </c>
      <c r="D9" s="8" t="s">
        <v>26</v>
      </c>
      <c r="E9" s="9" t="s">
        <v>22</v>
      </c>
      <c r="F9" s="7" t="s">
        <v>23</v>
      </c>
      <c r="G9" s="10" t="s">
        <v>16</v>
      </c>
      <c r="H9" s="12"/>
    </row>
    <row r="10" customFormat="false" ht="30" hidden="false" customHeight="true" outlineLevel="0" collapsed="false">
      <c r="A10" s="6" t="s">
        <v>27</v>
      </c>
      <c r="B10" s="7" t="s">
        <v>28</v>
      </c>
      <c r="C10" s="8" t="n">
        <v>8</v>
      </c>
      <c r="D10" s="8" t="s">
        <v>13</v>
      </c>
      <c r="E10" s="9" t="s">
        <v>22</v>
      </c>
      <c r="F10" s="7" t="s">
        <v>29</v>
      </c>
      <c r="G10" s="10" t="s">
        <v>16</v>
      </c>
      <c r="H10" s="11" t="n">
        <v>46315</v>
      </c>
    </row>
    <row r="11" customFormat="false" ht="30" hidden="false" customHeight="true" outlineLevel="0" collapsed="false">
      <c r="A11" s="6" t="s">
        <v>30</v>
      </c>
      <c r="B11" s="7" t="s">
        <v>31</v>
      </c>
      <c r="C11" s="8" t="n">
        <v>5</v>
      </c>
      <c r="D11" s="8" t="s">
        <v>13</v>
      </c>
      <c r="E11" s="9" t="s">
        <v>22</v>
      </c>
      <c r="F11" s="7" t="s">
        <v>27</v>
      </c>
      <c r="G11" s="10" t="s">
        <v>16</v>
      </c>
      <c r="H11" s="11" t="n">
        <v>46315</v>
      </c>
    </row>
    <row r="12" customFormat="false" ht="30" hidden="false" customHeight="true" outlineLevel="0" collapsed="false">
      <c r="A12" s="6" t="s">
        <v>32</v>
      </c>
      <c r="B12" s="7" t="s">
        <v>33</v>
      </c>
      <c r="C12" s="8" t="n">
        <v>5</v>
      </c>
      <c r="D12" s="8" t="s">
        <v>13</v>
      </c>
      <c r="E12" s="9" t="s">
        <v>22</v>
      </c>
      <c r="F12" s="7" t="s">
        <v>34</v>
      </c>
      <c r="G12" s="10" t="s">
        <v>16</v>
      </c>
      <c r="H12" s="11" t="n">
        <v>46315</v>
      </c>
    </row>
    <row r="13" customFormat="false" ht="30" hidden="false" customHeight="true" outlineLevel="0" collapsed="false">
      <c r="A13" s="6" t="s">
        <v>35</v>
      </c>
      <c r="B13" s="7" t="s">
        <v>36</v>
      </c>
      <c r="C13" s="8" t="n">
        <v>8</v>
      </c>
      <c r="D13" s="8" t="s">
        <v>13</v>
      </c>
      <c r="E13" s="9" t="s">
        <v>22</v>
      </c>
      <c r="F13" s="7" t="s">
        <v>37</v>
      </c>
      <c r="G13" s="10" t="s">
        <v>16</v>
      </c>
      <c r="H13" s="11" t="n">
        <v>46315</v>
      </c>
    </row>
    <row r="14" customFormat="false" ht="30" hidden="false" customHeight="true" outlineLevel="0" collapsed="false">
      <c r="A14" s="6" t="s">
        <v>38</v>
      </c>
      <c r="B14" s="7" t="s">
        <v>39</v>
      </c>
      <c r="C14" s="8" t="n">
        <v>8</v>
      </c>
      <c r="D14" s="8" t="s">
        <v>13</v>
      </c>
      <c r="E14" s="9" t="s">
        <v>19</v>
      </c>
      <c r="F14" s="7" t="s">
        <v>40</v>
      </c>
      <c r="G14" s="10" t="s">
        <v>16</v>
      </c>
      <c r="H14" s="11" t="n">
        <v>46315</v>
      </c>
    </row>
    <row r="15" customFormat="false" ht="30" hidden="false" customHeight="true" outlineLevel="0" collapsed="false">
      <c r="A15" s="6" t="s">
        <v>41</v>
      </c>
      <c r="B15" s="7" t="s">
        <v>42</v>
      </c>
      <c r="C15" s="8" t="n">
        <v>8</v>
      </c>
      <c r="D15" s="8" t="s">
        <v>13</v>
      </c>
      <c r="E15" s="9" t="s">
        <v>43</v>
      </c>
      <c r="F15" s="7" t="s">
        <v>44</v>
      </c>
      <c r="G15" s="10" t="s">
        <v>16</v>
      </c>
      <c r="H15" s="11" t="n">
        <v>46315</v>
      </c>
    </row>
    <row r="16" customFormat="false" ht="30" hidden="false" customHeight="true" outlineLevel="0" collapsed="false">
      <c r="A16" s="6" t="s">
        <v>45</v>
      </c>
      <c r="B16" s="7" t="s">
        <v>46</v>
      </c>
      <c r="C16" s="8" t="n">
        <v>5</v>
      </c>
      <c r="D16" s="8" t="s">
        <v>13</v>
      </c>
      <c r="E16" s="9" t="s">
        <v>47</v>
      </c>
      <c r="F16" s="7" t="s">
        <v>48</v>
      </c>
      <c r="G16" s="10" t="s">
        <v>16</v>
      </c>
      <c r="H16" s="11" t="n">
        <v>46318</v>
      </c>
    </row>
    <row r="17" customFormat="false" ht="15" hidden="false" customHeight="true" outlineLevel="0" collapsed="false">
      <c r="A17" s="13"/>
      <c r="B17" s="13" t="s">
        <v>49</v>
      </c>
      <c r="C17" s="14" t="n">
        <f aca="false">SUM(C6:C16)</f>
        <v>70</v>
      </c>
      <c r="D17" s="13"/>
      <c r="E17" s="13"/>
      <c r="F17" s="13"/>
      <c r="G17" s="13"/>
      <c r="H17" s="13"/>
    </row>
    <row r="19" customFormat="false" ht="15" hidden="false" customHeight="true" outlineLevel="0" collapsed="false">
      <c r="A19" s="4" t="s">
        <v>50</v>
      </c>
    </row>
    <row r="20" customFormat="false" ht="15" hidden="false" customHeight="true" outlineLevel="0" collapsed="false">
      <c r="A20" s="5" t="s">
        <v>3</v>
      </c>
      <c r="B20" s="5" t="s">
        <v>51</v>
      </c>
      <c r="C20" s="5"/>
      <c r="D20" s="5"/>
      <c r="E20" s="5" t="s">
        <v>7</v>
      </c>
      <c r="F20" s="5" t="s">
        <v>52</v>
      </c>
      <c r="G20" s="5" t="s">
        <v>9</v>
      </c>
      <c r="H20" s="5" t="s">
        <v>10</v>
      </c>
    </row>
    <row r="21" customFormat="false" ht="75" hidden="false" customHeight="true" outlineLevel="0" collapsed="false">
      <c r="A21" s="6" t="s">
        <v>53</v>
      </c>
      <c r="B21" s="7" t="s">
        <v>54</v>
      </c>
      <c r="C21" s="7"/>
      <c r="D21" s="7"/>
      <c r="E21" s="9" t="s">
        <v>22</v>
      </c>
      <c r="F21" s="7" t="s">
        <v>55</v>
      </c>
      <c r="G21" s="10" t="s">
        <v>16</v>
      </c>
      <c r="H21" s="11" t="n">
        <v>46315</v>
      </c>
    </row>
    <row r="22" customFormat="false" ht="75" hidden="false" customHeight="true" outlineLevel="0" collapsed="false">
      <c r="A22" s="6" t="s">
        <v>56</v>
      </c>
      <c r="B22" s="7" t="s">
        <v>57</v>
      </c>
      <c r="C22" s="7"/>
      <c r="D22" s="7"/>
      <c r="E22" s="9" t="s">
        <v>22</v>
      </c>
      <c r="F22" s="7" t="s">
        <v>58</v>
      </c>
      <c r="G22" s="10" t="s">
        <v>16</v>
      </c>
      <c r="H22" s="11" t="n">
        <v>46315</v>
      </c>
    </row>
    <row r="23" customFormat="false" ht="165" hidden="false" customHeight="true" outlineLevel="0" collapsed="false">
      <c r="A23" s="6" t="s">
        <v>59</v>
      </c>
      <c r="B23" s="7" t="s">
        <v>60</v>
      </c>
      <c r="C23" s="7"/>
      <c r="D23" s="7"/>
      <c r="E23" s="9" t="s">
        <v>61</v>
      </c>
      <c r="F23" s="7" t="s">
        <v>62</v>
      </c>
      <c r="G23" s="10" t="s">
        <v>63</v>
      </c>
      <c r="H23" s="12"/>
    </row>
    <row r="24" customFormat="false" ht="135" hidden="false" customHeight="true" outlineLevel="0" collapsed="false">
      <c r="A24" s="6" t="s">
        <v>64</v>
      </c>
      <c r="B24" s="7" t="s">
        <v>65</v>
      </c>
      <c r="C24" s="7"/>
      <c r="D24" s="7"/>
      <c r="E24" s="9" t="s">
        <v>66</v>
      </c>
      <c r="F24" s="7" t="s">
        <v>67</v>
      </c>
      <c r="G24" s="10" t="s">
        <v>63</v>
      </c>
      <c r="H24" s="12"/>
    </row>
    <row r="25" customFormat="false" ht="105" hidden="false" customHeight="true" outlineLevel="0" collapsed="false">
      <c r="A25" s="6" t="s">
        <v>68</v>
      </c>
      <c r="B25" s="7" t="s">
        <v>69</v>
      </c>
      <c r="C25" s="7"/>
      <c r="D25" s="7"/>
      <c r="E25" s="9" t="s">
        <v>70</v>
      </c>
      <c r="F25" s="7" t="s">
        <v>71</v>
      </c>
      <c r="G25" s="10" t="s">
        <v>63</v>
      </c>
      <c r="H25" s="12"/>
    </row>
    <row r="26" customFormat="false" ht="150" hidden="false" customHeight="true" outlineLevel="0" collapsed="false">
      <c r="A26" s="6" t="s">
        <v>72</v>
      </c>
      <c r="B26" s="7" t="s">
        <v>73</v>
      </c>
      <c r="C26" s="7"/>
      <c r="D26" s="7"/>
      <c r="E26" s="9" t="s">
        <v>43</v>
      </c>
      <c r="F26" s="7" t="s">
        <v>74</v>
      </c>
      <c r="G26" s="10" t="s">
        <v>16</v>
      </c>
      <c r="H26" s="11" t="n">
        <v>46307</v>
      </c>
    </row>
    <row r="27" customFormat="false" ht="165" hidden="false" customHeight="true" outlineLevel="0" collapsed="false">
      <c r="A27" s="6" t="s">
        <v>75</v>
      </c>
      <c r="B27" s="7" t="s">
        <v>76</v>
      </c>
      <c r="C27" s="7"/>
      <c r="D27" s="7"/>
      <c r="E27" s="9" t="s">
        <v>43</v>
      </c>
      <c r="F27" s="7" t="s">
        <v>77</v>
      </c>
      <c r="G27" s="10" t="s">
        <v>16</v>
      </c>
      <c r="H27" s="11" t="n">
        <v>46307</v>
      </c>
    </row>
    <row r="29" customFormat="false" ht="15" hidden="false" customHeight="true" outlineLevel="0" collapsed="false">
      <c r="A29" s="4" t="s">
        <v>78</v>
      </c>
    </row>
    <row r="30" customFormat="false" ht="15" hidden="false" customHeight="true" outlineLevel="0" collapsed="false">
      <c r="A30" s="15" t="s">
        <v>79</v>
      </c>
      <c r="B30" s="15"/>
      <c r="C30" s="16" t="n">
        <f aca="false">SUM(C6:C16)</f>
        <v>70</v>
      </c>
    </row>
    <row r="31" customFormat="false" ht="15" hidden="false" customHeight="true" outlineLevel="0" collapsed="false">
      <c r="A31" s="15" t="s">
        <v>80</v>
      </c>
      <c r="B31" s="15"/>
      <c r="C31" s="16" t="n">
        <f aca="false">SUMIF(G6:G16,"Hecho",C6:C16)</f>
        <v>70</v>
      </c>
    </row>
    <row r="32" customFormat="false" ht="15" hidden="false" customHeight="true" outlineLevel="0" collapsed="false">
      <c r="A32" s="15" t="s">
        <v>81</v>
      </c>
      <c r="B32" s="15"/>
      <c r="C32" s="16" t="n">
        <f aca="false">SUMIF(G6:G16,"Trasladado a S3",C6:C16)</f>
        <v>0</v>
      </c>
    </row>
    <row r="33" customFormat="false" ht="15" hidden="false" customHeight="true" outlineLevel="0" collapsed="false">
      <c r="A33" s="15" t="s">
        <v>82</v>
      </c>
      <c r="B33" s="15"/>
      <c r="C33" s="17" t="n">
        <f aca="false">IF(C30=0,0,C31/C30)</f>
        <v>1</v>
      </c>
    </row>
    <row r="34" customFormat="false" ht="15" hidden="false" customHeight="true" outlineLevel="0" collapsed="false">
      <c r="A34" s="15" t="s">
        <v>83</v>
      </c>
      <c r="B34" s="15"/>
      <c r="C34" s="16" t="n">
        <f aca="false">COUNTIF(G6:G16,"Por hacer")</f>
        <v>0</v>
      </c>
    </row>
    <row r="35" customFormat="false" ht="15" hidden="false" customHeight="true" outlineLevel="0" collapsed="false">
      <c r="A35" s="15" t="s">
        <v>84</v>
      </c>
      <c r="B35" s="15"/>
      <c r="C35" s="16" t="n">
        <f aca="false">COUNTIF(G6:G16,"En proceso")</f>
        <v>0</v>
      </c>
    </row>
    <row r="36" customFormat="false" ht="15" hidden="false" customHeight="true" outlineLevel="0" collapsed="false">
      <c r="A36" s="15" t="s">
        <v>85</v>
      </c>
      <c r="B36" s="15"/>
      <c r="C36" s="16" t="n">
        <f aca="false">COUNTIF(G6:G16,"En revisión")</f>
        <v>0</v>
      </c>
    </row>
    <row r="37" customFormat="false" ht="15" hidden="false" customHeight="true" outlineLevel="0" collapsed="false">
      <c r="A37" s="15" t="s">
        <v>86</v>
      </c>
      <c r="B37" s="15"/>
      <c r="C37" s="16" t="n">
        <f aca="false">COUNTIF(G6:G16,"Hecho")</f>
        <v>11</v>
      </c>
    </row>
    <row r="39" customFormat="false" ht="15" hidden="false" customHeight="true" outlineLevel="0" collapsed="false">
      <c r="A39" s="18" t="s">
        <v>87</v>
      </c>
    </row>
    <row r="40" customFormat="false" ht="15" hidden="false" customHeight="true" outlineLevel="0" collapsed="false">
      <c r="A40" s="19" t="s">
        <v>88</v>
      </c>
      <c r="B40" s="19"/>
      <c r="C40" s="19"/>
      <c r="D40" s="19"/>
      <c r="E40" s="19"/>
      <c r="F40" s="19"/>
      <c r="G40" s="19"/>
      <c r="H40" s="19"/>
    </row>
    <row r="41" customFormat="false" ht="15" hidden="false" customHeight="true" outlineLevel="0" collapsed="false">
      <c r="A41" s="19" t="s">
        <v>89</v>
      </c>
      <c r="B41" s="19"/>
      <c r="C41" s="19"/>
      <c r="D41" s="19"/>
      <c r="E41" s="19"/>
      <c r="F41" s="19"/>
      <c r="G41" s="19"/>
      <c r="H41" s="19"/>
    </row>
    <row r="42" customFormat="false" ht="15" hidden="false" customHeight="true" outlineLevel="0" collapsed="false">
      <c r="A42" s="19" t="s">
        <v>90</v>
      </c>
      <c r="B42" s="19"/>
      <c r="C42" s="19"/>
      <c r="D42" s="19"/>
      <c r="E42" s="19"/>
      <c r="F42" s="19"/>
      <c r="G42" s="19"/>
      <c r="H42" s="19"/>
    </row>
    <row r="43" customFormat="false" ht="42" hidden="false" customHeight="true" outlineLevel="0" collapsed="false">
      <c r="A43" s="19" t="s">
        <v>91</v>
      </c>
      <c r="B43" s="19"/>
      <c r="C43" s="19"/>
      <c r="D43" s="19"/>
      <c r="E43" s="19"/>
      <c r="F43" s="19"/>
      <c r="G43" s="19"/>
      <c r="H43" s="19"/>
    </row>
    <row r="44" customFormat="false" ht="27.75" hidden="false" customHeight="true" outlineLevel="0" collapsed="false">
      <c r="A44" s="19" t="s">
        <v>92</v>
      </c>
      <c r="B44" s="19"/>
      <c r="C44" s="19"/>
      <c r="D44" s="19"/>
      <c r="E44" s="19"/>
      <c r="F44" s="19"/>
      <c r="G44" s="19"/>
      <c r="H44" s="19"/>
    </row>
    <row r="45" customFormat="false" ht="15" hidden="false" customHeight="true" outlineLevel="0" collapsed="false">
      <c r="A45" s="19" t="s">
        <v>93</v>
      </c>
      <c r="B45" s="19"/>
      <c r="C45" s="19"/>
      <c r="D45" s="19"/>
      <c r="E45" s="19"/>
      <c r="F45" s="19"/>
      <c r="G45" s="19"/>
      <c r="H45" s="19"/>
    </row>
    <row r="46" customFormat="false" ht="39.75" hidden="false" customHeight="true" outlineLevel="0" collapsed="false">
      <c r="A46" s="19" t="s">
        <v>94</v>
      </c>
      <c r="B46" s="19"/>
      <c r="C46" s="19"/>
      <c r="D46" s="19"/>
      <c r="E46" s="19"/>
      <c r="F46" s="19"/>
      <c r="G46" s="19"/>
      <c r="H46" s="19"/>
    </row>
    <row r="47" customFormat="false" ht="72" hidden="false" customHeight="true" outlineLevel="0" collapsed="false">
      <c r="A47" s="19" t="s">
        <v>95</v>
      </c>
      <c r="B47" s="19"/>
      <c r="C47" s="19"/>
      <c r="D47" s="19"/>
      <c r="E47" s="19"/>
      <c r="F47" s="19"/>
      <c r="G47" s="19"/>
      <c r="H47" s="19"/>
    </row>
    <row r="48" customFormat="false" ht="57.75" hidden="false" customHeight="true" outlineLevel="0" collapsed="false">
      <c r="A48" s="19" t="s">
        <v>96</v>
      </c>
      <c r="B48" s="19"/>
      <c r="C48" s="19"/>
      <c r="D48" s="19"/>
      <c r="E48" s="19"/>
      <c r="F48" s="19"/>
      <c r="G48" s="19"/>
      <c r="H48" s="19"/>
    </row>
    <row r="49" customFormat="false" ht="57.75" hidden="false" customHeight="true" outlineLevel="0" collapsed="false">
      <c r="A49" s="19" t="s">
        <v>97</v>
      </c>
      <c r="B49" s="19"/>
      <c r="C49" s="19"/>
      <c r="D49" s="19"/>
      <c r="E49" s="19"/>
      <c r="F49" s="19"/>
      <c r="G49" s="19"/>
      <c r="H49" s="19"/>
    </row>
    <row r="50" customFormat="false" ht="57.75" hidden="false" customHeight="true" outlineLevel="0" collapsed="false">
      <c r="A50" s="19" t="s">
        <v>98</v>
      </c>
      <c r="B50" s="19"/>
      <c r="C50" s="19"/>
      <c r="D50" s="19"/>
      <c r="E50" s="19"/>
      <c r="F50" s="19"/>
      <c r="G50" s="19"/>
      <c r="H50" s="19"/>
    </row>
    <row r="51" customFormat="false" ht="57.75" hidden="false" customHeight="true" outlineLevel="0" collapsed="false">
      <c r="A51" s="19" t="s">
        <v>99</v>
      </c>
      <c r="B51" s="19"/>
      <c r="C51" s="19"/>
      <c r="D51" s="19"/>
      <c r="E51" s="19"/>
      <c r="F51" s="19"/>
      <c r="G51" s="19"/>
      <c r="H51" s="19"/>
    </row>
    <row r="52" customFormat="false" ht="57.75" hidden="false" customHeight="true" outlineLevel="0" collapsed="false">
      <c r="A52" s="19" t="s">
        <v>100</v>
      </c>
      <c r="B52" s="19"/>
      <c r="C52" s="19"/>
      <c r="D52" s="19"/>
      <c r="E52" s="19"/>
      <c r="F52" s="19"/>
      <c r="G52" s="19"/>
      <c r="H52" s="19"/>
    </row>
    <row r="53" customFormat="false" ht="57.75" hidden="false" customHeight="true" outlineLevel="0" collapsed="false">
      <c r="A53" s="19" t="s">
        <v>101</v>
      </c>
      <c r="B53" s="19"/>
      <c r="C53" s="19"/>
      <c r="D53" s="19"/>
      <c r="E53" s="19"/>
      <c r="F53" s="19"/>
      <c r="G53" s="19"/>
      <c r="H53" s="19"/>
    </row>
  </sheetData>
  <mergeCells count="32">
    <mergeCell ref="A1:H1"/>
    <mergeCell ref="A2:H2"/>
    <mergeCell ref="B20:D20"/>
    <mergeCell ref="B21:D21"/>
    <mergeCell ref="B22:D22"/>
    <mergeCell ref="B23:D23"/>
    <mergeCell ref="B24:D24"/>
    <mergeCell ref="B25:D25"/>
    <mergeCell ref="B26:D26"/>
    <mergeCell ref="B27:D27"/>
    <mergeCell ref="A30:B30"/>
    <mergeCell ref="A31:B31"/>
    <mergeCell ref="A32:B32"/>
    <mergeCell ref="A33:B33"/>
    <mergeCell ref="A34:B34"/>
    <mergeCell ref="A35:B35"/>
    <mergeCell ref="A36:B36"/>
    <mergeCell ref="A37:B37"/>
    <mergeCell ref="A40:H40"/>
    <mergeCell ref="A41:H41"/>
    <mergeCell ref="A42:H42"/>
    <mergeCell ref="A43:H43"/>
    <mergeCell ref="A44:H44"/>
    <mergeCell ref="A45:H45"/>
    <mergeCell ref="A46:H46"/>
    <mergeCell ref="A47:H47"/>
    <mergeCell ref="A48:H48"/>
    <mergeCell ref="A49:H49"/>
    <mergeCell ref="A50:H50"/>
    <mergeCell ref="A51:H51"/>
    <mergeCell ref="A52:H52"/>
    <mergeCell ref="A53:H53"/>
  </mergeCells>
  <conditionalFormatting sqref="G6:G16">
    <cfRule type="cellIs" priority="2" operator="equal" aboveAverage="0" equalAverage="0" bottom="0" percent="0" rank="0" text="" dxfId="0">
      <formula>"Por hacer"</formula>
    </cfRule>
    <cfRule type="cellIs" priority="3" operator="equal" aboveAverage="0" equalAverage="0" bottom="0" percent="0" rank="0" text="" dxfId="1">
      <formula>"En proceso"</formula>
    </cfRule>
    <cfRule type="cellIs" priority="4" operator="equal" aboveAverage="0" equalAverage="0" bottom="0" percent="0" rank="0" text="" dxfId="2">
      <formula>"En revisión"</formula>
    </cfRule>
    <cfRule type="cellIs" priority="5" operator="equal" aboveAverage="0" equalAverage="0" bottom="0" percent="0" rank="0" text="" dxfId="3">
      <formula>"Hecho"</formula>
    </cfRule>
    <cfRule type="cellIs" priority="6" operator="equal" aboveAverage="0" equalAverage="0" bottom="0" percent="0" rank="0" text="" dxfId="4">
      <formula>"Trasladado a S3"</formula>
    </cfRule>
  </conditionalFormatting>
  <conditionalFormatting sqref="G21:G27">
    <cfRule type="cellIs" priority="7" operator="equal" aboveAverage="0" equalAverage="0" bottom="0" percent="0" rank="0" text="" dxfId="0">
      <formula>"Por hacer"</formula>
    </cfRule>
    <cfRule type="cellIs" priority="8" operator="equal" aboveAverage="0" equalAverage="0" bottom="0" percent="0" rank="0" text="" dxfId="1">
      <formula>"En proceso"</formula>
    </cfRule>
    <cfRule type="cellIs" priority="9" operator="equal" aboveAverage="0" equalAverage="0" bottom="0" percent="0" rank="0" text="" dxfId="2">
      <formula>"En revisión"</formula>
    </cfRule>
    <cfRule type="cellIs" priority="10" operator="equal" aboveAverage="0" equalAverage="0" bottom="0" percent="0" rank="0" text="" dxfId="3">
      <formula>"Hecho"</formula>
    </cfRule>
    <cfRule type="cellIs" priority="11" operator="equal" aboveAverage="0" equalAverage="0" bottom="0" percent="0" rank="0" text="" dxfId="4">
      <formula>"Trasladado a S3"</formula>
    </cfRule>
  </conditionalFormatting>
  <dataValidations count="1">
    <dataValidation allowBlank="true" errorStyle="stop" operator="between" showDropDown="false" showErrorMessage="false" showInputMessage="false" sqref="G6:G16 G21:G27" type="list">
      <formula1>"Por hacer,En proceso,En revisión,Hecho,Trasladado a S3"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2026-09-24T15:11:59Z</dcterms:created>
  <dc:creator>openpyxl</dc:creator>
  <dc:description/>
  <dc:language>en-US</dc:language>
  <cp:lastModifiedBy/>
  <dcterms:modified xsi:type="dcterms:W3CDTF">2026-10-26T16:58:02Z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