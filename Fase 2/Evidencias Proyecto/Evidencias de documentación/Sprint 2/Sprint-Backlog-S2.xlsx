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print Backlo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404040"/>
      <sz val="10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color rgb="FF404040"/>
      <sz val="9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1" fontId="8" fillId="0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4" borderId="1" applyAlignment="1" pivotButton="0" quotePrefix="0" xfId="0">
      <alignment horizontal="left" vertical="center" wrapText="1"/>
    </xf>
    <xf numFmtId="1" fontId="8" fillId="0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vertical="top" wrapText="1"/>
    </xf>
    <xf numFmtId="165" fontId="9" fillId="3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8CBAD"/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4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5" topLeftCell="A6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7" min="1" max="1"/>
    <col width="38" customWidth="1" style="17" min="2" max="2"/>
    <col width="11" customWidth="1" style="17" min="3" max="3"/>
    <col width="10" customWidth="1" style="17" min="4" max="4"/>
    <col width="30" customWidth="1" style="17" min="5" max="6"/>
    <col width="44" customWidth="1" style="18" min="6" max="6"/>
    <col width="15" customWidth="1" style="17" min="7" max="7"/>
    <col width="13" customWidth="1" style="17" min="8" max="8"/>
  </cols>
  <sheetData>
    <row r="1" ht="25.5" customHeight="1" s="18">
      <c r="A1" s="19" t="inlineStr">
        <is>
          <t>SPRINT BACKLOG — SPRINT 2 · Gestión comercial</t>
        </is>
      </c>
    </row>
    <row r="2" ht="15" customHeight="1" s="18">
      <c r="A2" s="20" t="inlineStr">
        <is>
          <t>Período: 5 de octubre — 23 de octubre de 2026 (propuesto según Carta Gantt S9–S11; por confirmar)  |  Estado al 13 de octubre de 2026</t>
        </is>
      </c>
    </row>
    <row r="3" s="18"/>
    <row r="4" ht="15" customHeight="1" s="18">
      <c r="A4" s="21" t="inlineStr">
        <is>
          <t>1. Historias de usuario comprometidas</t>
        </is>
      </c>
    </row>
    <row r="5" ht="23.85" customHeight="1" s="18">
      <c r="A5" s="22" t="inlineStr">
        <is>
          <t>ID</t>
        </is>
      </c>
      <c r="B5" s="22" t="inlineStr">
        <is>
          <t>Historia</t>
        </is>
      </c>
      <c r="C5" s="22" t="inlineStr">
        <is>
          <t>Story Points</t>
        </is>
      </c>
      <c r="D5" s="22" t="inlineStr">
        <is>
          <t>Prioridad</t>
        </is>
      </c>
      <c r="E5" s="22" t="inlineStr">
        <is>
          <t>Responsable</t>
        </is>
      </c>
      <c r="F5" s="22" t="inlineStr">
        <is>
          <t>Depende de</t>
        </is>
      </c>
      <c r="G5" s="22" t="inlineStr">
        <is>
          <t>Estado</t>
        </is>
      </c>
      <c r="H5" s="22" t="inlineStr">
        <is>
          <t>Fecha término</t>
        </is>
      </c>
    </row>
    <row r="6" ht="30" customHeight="1" s="18">
      <c r="A6" s="23" t="inlineStr">
        <is>
          <t>PC-AUT-04</t>
        </is>
      </c>
      <c r="B6" s="24" t="inlineStr">
        <is>
          <t>Colaboradora solo ve sus clientes</t>
        </is>
      </c>
      <c r="C6" s="25" t="n">
        <v>8</v>
      </c>
      <c r="D6" s="25" t="inlineStr">
        <is>
          <t>Alta</t>
        </is>
      </c>
      <c r="E6" s="26" t="inlineStr">
        <is>
          <t>Grupal (guía propuesto: Christian)</t>
        </is>
      </c>
      <c r="F6" s="24" t="inlineStr">
        <is>
          <t>Modelo BD (extensión), PC-AUT-03</t>
        </is>
      </c>
      <c r="G6" s="27" t="inlineStr">
        <is>
          <t>En revisión</t>
        </is>
      </c>
      <c r="H6" s="28" t="n"/>
    </row>
    <row r="7" ht="30" customHeight="1" s="18">
      <c r="A7" s="23" t="inlineStr">
        <is>
          <t>PC-AUT-05</t>
        </is>
      </c>
      <c r="B7" s="24" t="inlineStr">
        <is>
          <t>Cliente solo ve su empresa</t>
        </is>
      </c>
      <c r="C7" s="25" t="n">
        <v>8</v>
      </c>
      <c r="D7" s="25" t="inlineStr">
        <is>
          <t>Alta</t>
        </is>
      </c>
      <c r="E7" s="26" t="inlineStr">
        <is>
          <t>Grupal (guía por definir)</t>
        </is>
      </c>
      <c r="F7" s="24" t="inlineStr">
        <is>
          <t>Modelo BD (extensión), PC-AUT-03</t>
        </is>
      </c>
      <c r="G7" s="27" t="inlineStr">
        <is>
          <t>Por hacer</t>
        </is>
      </c>
      <c r="H7" s="28" t="n"/>
    </row>
    <row r="8" ht="30" customHeight="1" s="18">
      <c r="A8" s="23" t="inlineStr">
        <is>
          <t>PC-PRO-01</t>
        </is>
      </c>
      <c r="B8" s="24" t="inlineStr">
        <is>
          <t>Prospectos en lista y kanban</t>
        </is>
      </c>
      <c r="C8" s="25" t="n">
        <v>5</v>
      </c>
      <c r="D8" s="25" t="inlineStr">
        <is>
          <t>Alta</t>
        </is>
      </c>
      <c r="E8" s="26" t="inlineStr">
        <is>
          <t>Por definir</t>
        </is>
      </c>
      <c r="F8" s="24" t="inlineStr">
        <is>
          <t>PC-CAP-01</t>
        </is>
      </c>
      <c r="G8" s="27" t="inlineStr">
        <is>
          <t>Hecho</t>
        </is>
      </c>
      <c r="H8" s="28" t="n"/>
    </row>
    <row r="9" ht="30" customHeight="1" s="18">
      <c r="A9" s="23" t="inlineStr">
        <is>
          <t>PC-PRO-02</t>
        </is>
      </c>
      <c r="B9" s="24" t="inlineStr">
        <is>
          <t>Registro manual de prospecto</t>
        </is>
      </c>
      <c r="C9" s="25" t="n">
        <v>2</v>
      </c>
      <c r="D9" s="25" t="inlineStr">
        <is>
          <t>Media</t>
        </is>
      </c>
      <c r="E9" s="26" t="inlineStr">
        <is>
          <t>Por definir</t>
        </is>
      </c>
      <c r="F9" s="24" t="inlineStr">
        <is>
          <t>PC-CAP-01</t>
        </is>
      </c>
      <c r="G9" s="27" t="inlineStr">
        <is>
          <t>Hecho</t>
        </is>
      </c>
      <c r="H9" s="28" t="n"/>
    </row>
    <row r="10" ht="30" customHeight="1" s="18">
      <c r="A10" s="23" t="inlineStr">
        <is>
          <t>PC-COT-01</t>
        </is>
      </c>
      <c r="B10" s="24" t="inlineStr">
        <is>
          <t>Cotizador en línea</t>
        </is>
      </c>
      <c r="C10" s="25" t="n">
        <v>8</v>
      </c>
      <c r="D10" s="25" t="inlineStr">
        <is>
          <t>Alta</t>
        </is>
      </c>
      <c r="E10" s="26" t="inlineStr">
        <is>
          <t>Por definir</t>
        </is>
      </c>
      <c r="F10" s="24" t="inlineStr">
        <is>
          <t>PC-CAP-01, PC-CAT-01</t>
        </is>
      </c>
      <c r="G10" s="27" t="inlineStr">
        <is>
          <t>Por hacer</t>
        </is>
      </c>
      <c r="H10" s="28" t="n"/>
    </row>
    <row r="11" ht="30" customHeight="1" s="18">
      <c r="A11" s="23" t="inlineStr">
        <is>
          <t>PC-COT-02</t>
        </is>
      </c>
      <c r="B11" s="24" t="inlineStr">
        <is>
          <t>Revisión de la cotización</t>
        </is>
      </c>
      <c r="C11" s="25" t="n">
        <v>5</v>
      </c>
      <c r="D11" s="25" t="inlineStr">
        <is>
          <t>Alta</t>
        </is>
      </c>
      <c r="E11" s="26" t="inlineStr">
        <is>
          <t>Por definir</t>
        </is>
      </c>
      <c r="F11" s="24" t="inlineStr">
        <is>
          <t>PC-COT-01</t>
        </is>
      </c>
      <c r="G11" s="27" t="inlineStr">
        <is>
          <t>Por hacer</t>
        </is>
      </c>
      <c r="H11" s="28" t="n"/>
    </row>
    <row r="12" ht="30" customHeight="1" s="18">
      <c r="A12" s="23" t="inlineStr">
        <is>
          <t>PC-CLI-01</t>
        </is>
      </c>
      <c r="B12" s="24" t="inlineStr">
        <is>
          <t>Conversión a cliente</t>
        </is>
      </c>
      <c r="C12" s="25" t="n">
        <v>5</v>
      </c>
      <c r="D12" s="25" t="inlineStr">
        <is>
          <t>Alta</t>
        </is>
      </c>
      <c r="E12" s="26" t="inlineStr">
        <is>
          <t>Por definir</t>
        </is>
      </c>
      <c r="F12" s="24" t="inlineStr">
        <is>
          <t>PC-PRO-01, Modelo BD (extensión)</t>
        </is>
      </c>
      <c r="G12" s="27" t="inlineStr">
        <is>
          <t>En revisión</t>
        </is>
      </c>
      <c r="H12" s="28" t="n"/>
    </row>
    <row r="13" ht="30" customHeight="1" s="18">
      <c r="A13" s="23" t="inlineStr">
        <is>
          <t>PC-CLI-02</t>
        </is>
      </c>
      <c r="B13" s="24" t="inlineStr">
        <is>
          <t>Ficha del cliente</t>
        </is>
      </c>
      <c r="C13" s="25" t="n">
        <v>8</v>
      </c>
      <c r="D13" s="25" t="inlineStr">
        <is>
          <t>Alta</t>
        </is>
      </c>
      <c r="E13" s="26" t="inlineStr">
        <is>
          <t>Por definir</t>
        </is>
      </c>
      <c r="F13" s="24" t="inlineStr">
        <is>
          <t>PC-CLI-01, Modelo BD (extensión)</t>
        </is>
      </c>
      <c r="G13" s="27" t="inlineStr">
        <is>
          <t>Por hacer</t>
        </is>
      </c>
      <c r="H13" s="28" t="n"/>
    </row>
    <row r="14" ht="30" customHeight="1" s="18">
      <c r="A14" s="23" t="inlineStr">
        <is>
          <t>PC-TEC-04</t>
        </is>
      </c>
      <c r="B14" s="24" t="inlineStr">
        <is>
          <t>Suite de pruebas de aislamiento</t>
        </is>
      </c>
      <c r="C14" s="25" t="n">
        <v>8</v>
      </c>
      <c r="D14" s="25" t="inlineStr">
        <is>
          <t>Alta</t>
        </is>
      </c>
      <c r="E14" s="26" t="inlineStr">
        <is>
          <t>Grupal (guía por definir)</t>
        </is>
      </c>
      <c r="F14" s="24" t="inlineStr">
        <is>
          <t>PC-AUT-04, PC-AUT-05, PC-TEC-02</t>
        </is>
      </c>
      <c r="G14" s="27" t="inlineStr">
        <is>
          <t>Por hacer</t>
        </is>
      </c>
      <c r="H14" s="28" t="n"/>
    </row>
    <row r="15" ht="30" customHeight="1" s="18">
      <c r="A15" s="23" t="inlineStr">
        <is>
          <t>PC-IA-01</t>
        </is>
      </c>
      <c r="B15" s="24" t="inlineStr">
        <is>
          <t>Diagnóstico de cotización con IA</t>
        </is>
      </c>
      <c r="C15" s="25" t="n">
        <v>8</v>
      </c>
      <c r="D15" s="25" t="inlineStr">
        <is>
          <t>Alta</t>
        </is>
      </c>
      <c r="E15" s="26" t="inlineStr">
        <is>
          <t>Esteban</t>
        </is>
      </c>
      <c r="F15" s="24" t="inlineStr">
        <is>
          <t>PC-COT-01 (el diagnóstico se agrega al cotizador)</t>
        </is>
      </c>
      <c r="G15" s="27" t="inlineStr">
        <is>
          <t>Por hacer</t>
        </is>
      </c>
      <c r="H15" s="28" t="n"/>
    </row>
    <row r="16" ht="15" customHeight="1" s="18">
      <c r="A16" s="29" t="n"/>
      <c r="B16" s="29" t="inlineStr">
        <is>
          <t>TOTAL COMPROMETIDO</t>
        </is>
      </c>
      <c r="C16" s="30">
        <f>SUM(C6:C15)</f>
        <v/>
      </c>
      <c r="D16" s="29" t="n"/>
      <c r="E16" s="29" t="n"/>
      <c r="F16" s="29" t="n"/>
      <c r="G16" s="29" t="n"/>
      <c r="H16" s="29" t="n"/>
    </row>
    <row r="17" s="18"/>
    <row r="18" ht="15" customHeight="1" s="18">
      <c r="A18" s="21" t="inlineStr">
        <is>
          <t>2. Tareas del sprint (sin story points)</t>
        </is>
      </c>
    </row>
    <row r="19" ht="15" customHeight="1" s="18">
      <c r="A19" s="22" t="inlineStr">
        <is>
          <t>ID</t>
        </is>
      </c>
      <c r="B19" s="22" t="inlineStr">
        <is>
          <t>Tarea</t>
        </is>
      </c>
      <c r="C19" s="31" t="n"/>
      <c r="D19" s="32" t="n"/>
      <c r="E19" s="22" t="inlineStr">
        <is>
          <t>Responsable</t>
        </is>
      </c>
      <c r="F19" s="22" t="inlineStr">
        <is>
          <t>Observación</t>
        </is>
      </c>
      <c r="G19" s="22" t="inlineStr">
        <is>
          <t>Estado</t>
        </is>
      </c>
      <c r="H19" s="22" t="inlineStr">
        <is>
          <t>Fecha término</t>
        </is>
      </c>
    </row>
    <row r="20" ht="75" customHeight="1" s="18">
      <c r="A20" s="23" t="inlineStr">
        <is>
          <t>T-01</t>
        </is>
      </c>
      <c r="B20" s="24" t="inlineStr">
        <is>
          <t>Modelo de Base de Datos · extensión</t>
        </is>
      </c>
      <c r="C20" s="31" t="n"/>
      <c r="D20" s="32" t="n"/>
      <c r="E20" s="26" t="inlineStr">
        <is>
          <t>Por definir</t>
        </is>
      </c>
      <c r="F20" s="24" t="inlineStr">
        <is>
          <t>Cliente real, TenantModel en entidades del portal, selector de cliente activo (colaboradora) y modelo de content. Bloquea PC-AUT-04/05 y PC-CLI-01/02.</t>
        </is>
      </c>
      <c r="G20" s="27" t="inlineStr">
        <is>
          <t>Por hacer</t>
        </is>
      </c>
      <c r="H20" s="28" t="n"/>
    </row>
    <row r="21" ht="75" customHeight="1" s="18">
      <c r="A21" s="23" t="inlineStr">
        <is>
          <t>T-02</t>
        </is>
      </c>
      <c r="B21" s="24" t="inlineStr">
        <is>
          <t>PC-SEO-01b · Metadatos del CMS publicados en el sitio</t>
        </is>
      </c>
      <c r="C21" s="31" t="n"/>
      <c r="D21" s="32" t="n"/>
      <c r="E21" s="26" t="inlineStr">
        <is>
          <t>Por definir</t>
        </is>
      </c>
      <c r="F21" s="24" t="inlineStr">
        <is>
          <t>Enganche dinámico de título/descripción del CMS con el sitio. Extensión de PC-SEO-01 (cerrada en S1); sin puntos.</t>
        </is>
      </c>
      <c r="G21" s="27" t="inlineStr">
        <is>
          <t>Por hacer</t>
        </is>
      </c>
      <c r="H21" s="28" t="n"/>
    </row>
    <row r="22" ht="165" customHeight="1" s="18">
      <c r="A22" s="23" t="inlineStr">
        <is>
          <t>T-03</t>
        </is>
      </c>
      <c r="B22" s="24" t="inlineStr">
        <is>
          <t>MEJORA · Correcciones de la página (QA antes de producción)</t>
        </is>
      </c>
      <c r="C22" s="31" t="n"/>
      <c r="D22" s="32" t="n"/>
      <c r="E22" s="26" t="inlineStr">
        <is>
          <t>Equipo</t>
        </is>
      </c>
      <c r="F22" s="24" t="inlineStr">
        <is>
          <t>Checklist de 10 fallos en Trello (flechas, enlaces que caen en el admin de Django, usuarios sin rol, etc.). Sin puntos. · 11 oct: escaneo completo de la plataforma; corregidos permisos del catálogo solo administradora (7edabf5), origen UTM del prospecto y «Novedades» en el menú (6597b2b) y precios con aviso «+ IVA» (3015393).</t>
        </is>
      </c>
      <c r="G22" s="27" t="inlineStr">
        <is>
          <t>En proceso</t>
        </is>
      </c>
      <c r="H22" s="28" t="n"/>
    </row>
    <row r="23" ht="135" customHeight="1" s="18">
      <c r="A23" s="23" t="inlineStr">
        <is>
          <t>T-04</t>
        </is>
      </c>
      <c r="B23" s="24" t="inlineStr">
        <is>
          <t>MEJORA · Ajustes de identidad visual pedidos por la agencia</t>
        </is>
      </c>
      <c r="C23" s="31" t="n"/>
      <c r="D23" s="32" t="n"/>
      <c r="E23" s="26" t="inlineStr">
        <is>
          <t>Esteban (contacto) + equipo</t>
        </is>
      </c>
      <c r="F23" s="24" t="inlineStr">
        <is>
          <t>Origen: Sprint Review S1 (27 sep). Depende de que la agencia envíe frases y colores. Sin puntos. · 11 oct: asesoría gratuita destacada: «Más información» conectado a la nueva página /asesoria-gratuita/ (6597b2b). Faltan frases, colores, más CTA de cotización y logo.</t>
        </is>
      </c>
      <c r="G23" s="27" t="inlineStr">
        <is>
          <t>En proceso</t>
        </is>
      </c>
      <c r="H23" s="28" t="n"/>
    </row>
    <row r="24" ht="75" customHeight="1" s="18">
      <c r="A24" s="23" t="inlineStr">
        <is>
          <t>T-05</t>
        </is>
      </c>
      <c r="B24" s="24" t="inlineStr">
        <is>
          <t>Documentación S2 (9 documentos, una tarjeta por documento en Trello)</t>
        </is>
      </c>
      <c r="C24" s="31" t="n"/>
      <c r="D24" s="32" t="n"/>
      <c r="E24" s="26" t="inlineStr">
        <is>
          <t>Felipe: Bloque A · Rotación B/C por confirmar</t>
        </is>
      </c>
      <c r="F24" s="24" t="inlineStr">
        <is>
          <t>Rotación de documentos pendiente de confirmar entre Christian y Esteban.</t>
        </is>
      </c>
      <c r="G24" s="27" t="inlineStr">
        <is>
          <t>Por hacer</t>
        </is>
      </c>
      <c r="H24" s="28" t="n"/>
    </row>
    <row r="25" ht="150" customHeight="1" s="18">
      <c r="A25" s="23" t="inlineStr">
        <is>
          <t>T-06</t>
        </is>
      </c>
      <c r="B25" s="24" t="inlineStr">
        <is>
          <t>MEJORA · Correcciones de seguridad (panel interno y prospectos)</t>
        </is>
      </c>
      <c r="C25" s="31" t="n"/>
      <c r="D25" s="32" t="n"/>
      <c r="E25" s="26" t="inlineStr">
        <is>
          <t>Esteban</t>
        </is>
      </c>
      <c r="F25" s="24" t="inlineStr">
        <is>
          <t>Hecho el 12 oct. (1) El acceso al panel interno depende del rol del usuario, ya no de la casilla "Es del equipo"; el formulario de usuarios no permite marcarla en un cliente. (2) Los formularios públicos de cotización y asesoría solo completan campos vacíos de un prospecto existente; cualquier dato distinto queda en el historial para que el equipo decida. Sin puntos.</t>
        </is>
      </c>
      <c r="G25" s="27" t="inlineStr">
        <is>
          <t>Hecho</t>
        </is>
      </c>
      <c r="H25" s="39" t="n">
        <v>46307</v>
      </c>
    </row>
    <row r="26" ht="165" customHeight="1" s="18">
      <c r="A26" s="23" t="inlineStr">
        <is>
          <t>T-07</t>
        </is>
      </c>
      <c r="B26" s="24" t="inlineStr">
        <is>
          <t>MEJORA · Ajustes de la IA (rendimiento, texto limpio, pruebas)</t>
        </is>
      </c>
      <c r="C26" s="31" t="n"/>
      <c r="D26" s="32" t="n"/>
      <c r="E26" s="26" t="inlineStr">
        <is>
          <t>Esteban</t>
        </is>
      </c>
      <c r="F26" s="24" t="inlineStr">
        <is>
          <t>Hecho el 12 oct. Modelo lite con razonamiento bajo (diagnóstico de 18–50 s a unos 3 s); texto sin saludo ni símbolos ### o **; reintento automático ante saturación de Google; sin reintento al llegar al límite de cuota, con aviso de cuándo se renueva; mensajes de error en español y detalle técnico en el registro de auditoría; pruebas automáticas que nunca llaman a Gemini (suite de 42 a 2 s). Detalle de la historia: PC-IA-01. Sin puntos.</t>
        </is>
      </c>
      <c r="G26" s="27" t="inlineStr">
        <is>
          <t>Hecho</t>
        </is>
      </c>
      <c r="H26" s="39" t="n">
        <v>46307</v>
      </c>
    </row>
    <row r="27" s="18"/>
    <row r="28" ht="15" customHeight="1" s="18">
      <c r="A28" s="21" t="inlineStr">
        <is>
          <t>3. Resumen (se calcula solo)</t>
        </is>
      </c>
    </row>
    <row r="29" ht="15" customHeight="1" s="18">
      <c r="A29" s="33" t="inlineStr">
        <is>
          <t>Story points comprometidos</t>
        </is>
      </c>
      <c r="B29" s="32" t="n"/>
      <c r="C29" s="34">
        <f>SUM(C6:C15)</f>
        <v/>
      </c>
    </row>
    <row r="30" ht="15" customHeight="1" s="18">
      <c r="A30" s="33" t="inlineStr">
        <is>
          <t>Story points terminados (Hecho)</t>
        </is>
      </c>
      <c r="B30" s="32" t="n"/>
      <c r="C30" s="34">
        <f>SUMIF(G6:G15,"Hecho",C6:C15)</f>
        <v/>
      </c>
    </row>
    <row r="31" ht="15" customHeight="1" s="18">
      <c r="A31" s="33" t="inlineStr">
        <is>
          <t>Story points trasladados a S3</t>
        </is>
      </c>
      <c r="B31" s="32" t="n"/>
      <c r="C31" s="34">
        <f>SUMIF(G6:G15,"Trasladado a S3",C6:C15)</f>
        <v/>
      </c>
    </row>
    <row r="32" ht="15" customHeight="1" s="18">
      <c r="A32" s="33" t="inlineStr">
        <is>
          <t>% de avance (puntos)</t>
        </is>
      </c>
      <c r="B32" s="32" t="n"/>
      <c r="C32" s="35">
        <f>IF(C29=0,0,C30/C29)</f>
        <v/>
      </c>
    </row>
    <row r="33" ht="15" customHeight="1" s="18">
      <c r="A33" s="33" t="inlineStr">
        <is>
          <t>Historias por hacer</t>
        </is>
      </c>
      <c r="B33" s="32" t="n"/>
      <c r="C33" s="34">
        <f>COUNTIF(G6:G15,"Por hacer")</f>
        <v/>
      </c>
    </row>
    <row r="34" ht="15" customHeight="1" s="18">
      <c r="A34" s="33" t="inlineStr">
        <is>
          <t>Historias en proceso</t>
        </is>
      </c>
      <c r="B34" s="32" t="n"/>
      <c r="C34" s="34">
        <f>COUNTIF(G6:G15,"En proceso")</f>
        <v/>
      </c>
    </row>
    <row r="35" ht="15" customHeight="1" s="18">
      <c r="A35" s="33" t="inlineStr">
        <is>
          <t>Historias en revisión</t>
        </is>
      </c>
      <c r="B35" s="32" t="n"/>
      <c r="C35" s="34">
        <f>COUNTIF(G6:G15,"En revisión")</f>
        <v/>
      </c>
    </row>
    <row r="36" ht="15" customHeight="1" s="18">
      <c r="A36" s="33" t="inlineStr">
        <is>
          <t>Historias terminadas</t>
        </is>
      </c>
      <c r="B36" s="32" t="n"/>
      <c r="C36" s="34">
        <f>COUNTIF(G6:G15,"Hecho")</f>
        <v/>
      </c>
    </row>
    <row r="37" s="18"/>
    <row r="38" ht="15" customHeight="1" s="18">
      <c r="A38" s="36" t="inlineStr">
        <is>
          <t>Notas</t>
        </is>
      </c>
    </row>
    <row r="39" ht="15" customHeight="1" s="18">
      <c r="A39" s="38" t="inlineStr">
        <is>
          <t>• Cómo usar: rellena solo las celdas amarillas (Responsable, Estado y Fecha término). El resumen se recalcula solo.</t>
        </is>
      </c>
    </row>
    <row r="40" ht="15" customHeight="1" s="18">
      <c r="A40" s="38" t="inlineStr">
        <is>
          <t>• Estados: Por hacer · En proceso · En revisión · Hecho · Trasladado a S3 (mismos nombres que las listas de Trello).</t>
        </is>
      </c>
    </row>
    <row r="41" ht="15" customHeight="1" s="18">
      <c r="A41" s="38" t="inlineStr">
        <is>
          <t>• Una historia pasa a "Hecho" solo si cumple sus criterios de aceptación del Product Backlog.</t>
        </is>
      </c>
    </row>
    <row r="42" ht="42" customHeight="1" s="18">
      <c r="A42" s="38" t="inlineStr">
        <is>
          <t>• Fuente de historias y puntos: Product Backlog (Iteración = Sprint 2). Total: 65 pts = 57 pts originales + PC-IA-01 (8 pts), adelantada del Sprint 4 al Sprint 2 el 13 oct por decisión del equipo, porque el sprint tenía pocos puntos. PC-TEC-03 (ambiente de pruebas en GCP, 5 pts) fue sacada del alcance por decisión del equipo y no se arrastra desde S1.</t>
        </is>
      </c>
    </row>
    <row r="43" ht="28" customHeight="1" s="18">
      <c r="A43" s="38" t="inlineStr">
        <is>
          <t>• Estado según Trello al 5 oct: PC-PRO-01 y PC-PRO-02 en Hecho; PC-CLI-01 y PC-AUT-04 en En revisión. PC-COT-01, PC-COT-02, PC-CLI-02, PC-AUT-05 y PC-TEC-04 aparecen en Por hacer en Trello aunque tienen avance construido en el código (pruebas automáticas en verde); pasan a En revisión/Hecho solo tras validarlas contra sus criterios de aceptación.</t>
        </is>
      </c>
    </row>
    <row r="44" ht="15" customHeight="1" s="18">
      <c r="A44" s="38" t="inlineStr">
        <is>
          <t>• Responsables "por definir" no están asignados todavía; confirmarlos en la planificación del sprint con el equipo.</t>
        </is>
      </c>
    </row>
    <row r="45" ht="40" customHeight="1" s="18">
      <c r="A45" s="38" t="inlineStr">
        <is>
          <t>• Corte 11 oct (fin de semana S9): ninguna historia cambió de estado (0 pts quemados en la semana; restan 50). T-03 y T-04 pasan a En proceso, igual que en Trello. Commits en felipe-dev: 7edabf5, 6597b2b y 3015393.</t>
        </is>
      </c>
    </row>
    <row r="46" ht="72" customHeight="1" s="18">
      <c r="A46" s="38" t="inlineStr">
        <is>
          <t>• Cambio de alcance 13 oct: PC-IA-01 pasa al Sprint 2 (compromiso 57 → 65 pts). El 12 oct Esteban dejó construida la conexión con Gemini (clave de Google AI Studio) y probó el diagnóstico de cotización con la API real, con los planes y precios del catálogo. Sigue en Por hacer y no resta puntos: falta validarla contra sus criterios (casos CP-057, CP-061 y CP-062 por ejecutar). La administradora revisa cada diagnóstico antes de que llegue al cliente; aún no es una regla del sistema (PC-IA-04, Sprint 4).</t>
        </is>
      </c>
    </row>
    <row r="47" s="18"/>
    <row r="48" s="18"/>
    <row r="49" s="18"/>
    <row r="50" s="18"/>
    <row r="51" s="18"/>
    <row r="52" s="18"/>
    <row r="53" s="18"/>
    <row r="54" s="18"/>
    <row r="55" s="18"/>
    <row r="56" s="18"/>
    <row r="57" s="18"/>
    <row r="58" s="18"/>
    <row r="59" s="18"/>
    <row r="60" s="18"/>
  </sheetData>
  <mergeCells count="26">
    <mergeCell ref="A30:B30"/>
    <mergeCell ref="A39:H39"/>
    <mergeCell ref="B23:D23"/>
    <mergeCell ref="A36:B36"/>
    <mergeCell ref="A1:H1"/>
    <mergeCell ref="A45:H45"/>
    <mergeCell ref="B19:D19"/>
    <mergeCell ref="A41:H41"/>
    <mergeCell ref="A46:H46"/>
    <mergeCell ref="B24:D24"/>
    <mergeCell ref="B20:D20"/>
    <mergeCell ref="A33:B33"/>
    <mergeCell ref="A2:H2"/>
    <mergeCell ref="B26:D26"/>
    <mergeCell ref="A42:H42"/>
    <mergeCell ref="A32:B32"/>
    <mergeCell ref="B25:D25"/>
    <mergeCell ref="A35:B35"/>
    <mergeCell ref="A29:B29"/>
    <mergeCell ref="B22:D22"/>
    <mergeCell ref="A43:H43"/>
    <mergeCell ref="A44:H44"/>
    <mergeCell ref="B21:D21"/>
    <mergeCell ref="A31:B31"/>
    <mergeCell ref="A34:B34"/>
    <mergeCell ref="A40:H40"/>
  </mergeCells>
  <conditionalFormatting sqref="G6:G15">
    <cfRule type="cellIs" priority="11" operator="equal" dxfId="5">
      <formula>"Por hacer"</formula>
    </cfRule>
    <cfRule type="cellIs" priority="12" operator="equal" dxfId="6">
      <formula>"En proceso"</formula>
    </cfRule>
    <cfRule type="cellIs" priority="13" operator="equal" dxfId="7">
      <formula>"En revisión"</formula>
    </cfRule>
    <cfRule type="cellIs" priority="14" operator="equal" dxfId="8">
      <formula>"Hecho"</formula>
    </cfRule>
    <cfRule type="cellIs" priority="15" operator="equal" dxfId="9">
      <formula>"Trasladado a S3"</formula>
    </cfRule>
  </conditionalFormatting>
  <conditionalFormatting sqref="G20:G26">
    <cfRule type="cellIs" priority="16" operator="equal" dxfId="5">
      <formula>"Por hacer"</formula>
    </cfRule>
    <cfRule type="cellIs" priority="17" operator="equal" dxfId="6">
      <formula>"En proceso"</formula>
    </cfRule>
    <cfRule type="cellIs" priority="18" operator="equal" dxfId="7">
      <formula>"En revisión"</formula>
    </cfRule>
    <cfRule type="cellIs" priority="19" operator="equal" dxfId="8">
      <formula>"Hecho"</formula>
    </cfRule>
    <cfRule type="cellIs" priority="20" operator="equal" dxfId="9">
      <formula>"Trasladado a S3"</formula>
    </cfRule>
  </conditionalFormatting>
  <dataValidations count="1">
    <dataValidation sqref="G6:G15 G20:G26" showDropDown="0" showInputMessage="0" showErrorMessage="0" allowBlank="1" type="list">
      <formula1>"Por hacer,En proceso,En revisión,Hecho,Trasladado a S3"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2026-09-24T15:11:59Z</dcterms:created>
  <dcterms:modified xmlns:dcterms="http://purl.org/dc/terms/" xmlns:xsi="http://www.w3.org/2001/XMLSchema-instance" xsi:type="dcterms:W3CDTF">2026-10-13T16:18:36Z</dcterms:modified>
  <cp:revision>0</cp:revision>
</cp:coreProperties>
</file>