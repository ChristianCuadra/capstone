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 S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Debe ser igual al TOTAL del Sprint-Backlog-S1. Si se replanifica, cambia este valor.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<sst xmlns="http://schemas.openxmlformats.org/spreadsheetml/2006/main" count="24" uniqueCount="24">
  <si>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BURNDOWN — SPRINT 3</t>
  </si>
  <si>
    <t xml:space="preserve">Período: 26 de octubre — 13 de noviembre de 2026 (S12–S14 según Carta Gantt; por confirmar)  |  Días hábiles: 15</t>
  </si>
  <si>
    <t xml:space="preserve">Story points comprometidos:</t>
  </si>
  <si>
    <t xml:space="preserve">Día</t>
  </si>
  <si>
    <t xml:space="preserve">Fecha</t>
  </si>
  <si>
    <t xml:space="preserve">Puntos restantes (ideal)</t>
  </si>
  <si>
    <t xml:space="preserve">Puntos restantes (real)</t>
  </si>
  <si>
    <t xml:space="preserve">Diferencia (real − ideal)</t>
  </si>
  <si>
    <t xml:space="preserve">Nota del día</t>
  </si>
  <si>
    <t xml:space="preserve">Inicio del Sprint 3: 9 historias comprometidas (55 pts).</t>
  </si>
  <si>
    <t xml:space="preserve">Resumen (se calcula solo)</t>
  </si>
  <si>
    <t xml:space="preserve">Días hábiles del sprint</t>
  </si>
  <si>
    <t xml:space="preserve">Días registrados</t>
  </si>
  <si>
    <t xml:space="preserve">Puntos restantes hoy (real)</t>
  </si>
  <si>
    <t xml:space="preserve">Puntos terminados</t>
  </si>
  <si>
    <t xml:space="preserve">Puntos restantes hoy (ideal)</t>
  </si>
  <si>
    <t xml:space="preserve">Atraso respecto del ideal (pts)</t>
  </si>
  <si>
    <t xml:space="preserve">Días hábiles que quedan</t>
  </si>
  <si>
    <t xml:space="preserve">Notas</t>
  </si>
  <si>
    <t xml:space="preserve">• Cómo usar: cada día hábil anota en "Puntos restantes (real)" los story points que aún no están en Hecho. Deja en blanco los días futuros.</t>
  </si>
  <si>
    <t xml:space="preserve">• Los puntos solo bajan cuando una historia completa pasa a Hecho; las tareas sin puntos (extensión de BD, mejoras, documentos) no restan puntos.</t>
  </si>
  <si>
    <t xml:space="preserve">• Comprometidos: 55 pts (9 historias del Sprint 3 según el Product Backlog).</t>
  </si>
  <si>
    <t xml:space="preserve">• Fechas propuestas según la Carta Gantt (S12–S14). No hay feriados en días hábiles del período; confirmar fechas en la planificación.</t>
  </si>
  <si>
    <t xml:space="preserve">• Acuerdo de la Retrospective S2: cerrar cada historia apenas cumple sus criterios, para que el gráfico refleje el avance real y no baje todo al final.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</si>
</sst>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0.0;[RED]\-0.0;0"/>
    <numFmt numFmtId="167" formatCode="0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color rgb="FF40404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S3'!C5</c:f>
              <c:strCache>
                <c:ptCount val="1"/>
                <c:pt idx="0">
                  <c:v>Puntos restantes (ideal)</c:v>
                </c:pt>
              </c:strCache>
            </c:strRef>
          </c:tx>
          <c:spPr>
            <a:solidFill>
              <a:srgbClr val="7f7f7f"/>
            </a:solidFill>
            <a:ln w="2808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S3'!$A$6:$A$20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'Burndown S3'!$C$6:$C$20</c:f>
              <c:numCache>
                <c:formatCode>General</c:formatCode>
                <c:ptCount val="15"/>
                <c:pt idx="0">
                  <c:v>55</c:v>
                </c:pt>
                <c:pt idx="1">
                  <c:v>51.1</c:v>
                </c:pt>
                <c:pt idx="2">
                  <c:v>47.1</c:v>
                </c:pt>
                <c:pt idx="3">
                  <c:v>43.2</c:v>
                </c:pt>
                <c:pt idx="4">
                  <c:v>39.3</c:v>
                </c:pt>
                <c:pt idx="5">
                  <c:v>35.4</c:v>
                </c:pt>
                <c:pt idx="6">
                  <c:v>31.4</c:v>
                </c:pt>
                <c:pt idx="7">
                  <c:v>27.5</c:v>
                </c:pt>
                <c:pt idx="8">
                  <c:v>23.6</c:v>
                </c:pt>
                <c:pt idx="9">
                  <c:v>19.6</c:v>
                </c:pt>
                <c:pt idx="10">
                  <c:v>15.7</c:v>
                </c:pt>
                <c:pt idx="11">
                  <c:v>11.8</c:v>
                </c:pt>
                <c:pt idx="12">
                  <c:v>7.9</c:v>
                </c:pt>
                <c:pt idx="13">
                  <c:v>3.9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S3'!D5</c:f>
              <c:strCache>
                <c:ptCount val="1"/>
                <c:pt idx="0">
                  <c:v>Puntos restantes (real)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S3'!$A$6:$A$20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'Burndown S3'!$D$6:$D$20</c:f>
              <c:numCache>
                <c:formatCode>General</c:formatCode>
                <c:ptCount val="15"/>
                <c:pt idx="0">
                  <c:v>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392482"/>
        <c:axId val="38047638"/>
      </c:lineChart>
      <c:catAx>
        <c:axId val="553924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47638"/>
        <c:crosses val="autoZero"/>
        <c:auto val="1"/>
        <c:lblAlgn val="ctr"/>
        <c:lblOffset val="100"/>
        <c:noMultiLvlLbl val="0"/>
      </c:catAx>
      <c:valAx>
        <c:axId val="38047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92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507240</xdr:colOff>
      <xdr:row>11</xdr:row>
      <xdr:rowOff>89280</xdr:rowOff>
    </xdr:to>
    <xdr:graphicFrame>
      <xdr:nvGraphicFramePr>
        <xdr:cNvPr id="0" name="Chart 1"/>
        <xdr:cNvGraphicFramePr/>
      </xdr:nvGraphicFramePr>
      <xdr:xfrm>
        <a:off x="8858160" y="895320"/>
        <a:ext cx="5399280" cy="161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7"/>
    <col collapsed="false" customWidth="true" hidden="false" outlineLevel="0" max="5" min="3" style="1" width="15"/>
    <col collapsed="false" customWidth="true" hidden="false" outlineLevel="0" max="6" min="6" style="1" width="4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5" t="n">
        <v>55</v>
      </c>
    </row>
    <row r="5" customFormat="false" ht="30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customFormat="false" ht="15" hidden="false" customHeight="true" outlineLevel="0" collapsed="false">
      <c r="A6" s="7" t="n">
        <v>1</v>
      </c>
      <c r="B6" s="8" t="n">
        <v>46321</v>
      </c>
      <c r="C6" s="7" t="n">
        <f aca="false">ROUND($C$3-$C$3*(A6-1)/(15-1),1)</f>
        <v>55</v>
      </c>
      <c r="D6" s="9" t="n">
        <v>55</v>
      </c>
      <c r="E6" s="10" t="n">
        <f aca="false">IF(D6="","",D6-C6)</f>
        <v>0</v>
      </c>
      <c r="F6" s="11" t="s">
        <v>9</v>
      </c>
    </row>
    <row r="7" customFormat="false" ht="15" hidden="false" customHeight="true" outlineLevel="0" collapsed="false">
      <c r="A7" s="7" t="n">
        <v>2</v>
      </c>
      <c r="B7" s="8" t="n">
        <v>46322</v>
      </c>
      <c r="C7" s="7" t="n">
        <f aca="false">ROUND($C$3-$C$3*(A7-1)/(15-1),1)</f>
        <v>51.1</v>
      </c>
      <c r="D7" s="9"/>
      <c r="E7" s="10" t="str">
        <f aca="false">IF(D7="","",D7-C7)</f>
        <v/>
      </c>
      <c r="F7" s="11"/>
    </row>
    <row r="8" customFormat="false" ht="15" hidden="false" customHeight="true" outlineLevel="0" collapsed="false">
      <c r="A8" s="7" t="n">
        <v>3</v>
      </c>
      <c r="B8" s="8" t="n">
        <v>46323</v>
      </c>
      <c r="C8" s="7" t="n">
        <f aca="false">ROUND($C$3-$C$3*(A8-1)/(15-1),1)</f>
        <v>47.1</v>
      </c>
      <c r="D8" s="9"/>
      <c r="E8" s="10" t="str">
        <f aca="false">IF(D8="","",D8-C8)</f>
        <v/>
      </c>
      <c r="F8" s="11"/>
    </row>
    <row r="9" customFormat="false" ht="15" hidden="false" customHeight="true" outlineLevel="0" collapsed="false">
      <c r="A9" s="7" t="n">
        <v>4</v>
      </c>
      <c r="B9" s="8" t="n">
        <v>46324</v>
      </c>
      <c r="C9" s="7" t="n">
        <f aca="false">ROUND($C$3-$C$3*(A9-1)/(15-1),1)</f>
        <v>43.2</v>
      </c>
      <c r="D9" s="9"/>
      <c r="E9" s="10" t="str">
        <f aca="false">IF(D9="","",D9-C9)</f>
        <v/>
      </c>
      <c r="F9" s="11"/>
    </row>
    <row r="10" customFormat="false" ht="15" hidden="false" customHeight="true" outlineLevel="0" collapsed="false">
      <c r="A10" s="7" t="n">
        <v>5</v>
      </c>
      <c r="B10" s="8" t="n">
        <v>46325</v>
      </c>
      <c r="C10" s="7" t="n">
        <f aca="false">ROUND($C$3-$C$3*(A10-1)/(15-1),1)</f>
        <v>39.3</v>
      </c>
      <c r="D10" s="9"/>
      <c r="E10" s="10" t="str">
        <f aca="false">IF(D10="","",D10-C10)</f>
        <v/>
      </c>
      <c r="F10" s="11"/>
    </row>
    <row r="11" customFormat="false" ht="15" hidden="false" customHeight="true" outlineLevel="0" collapsed="false">
      <c r="A11" s="7" t="n">
        <v>6</v>
      </c>
      <c r="B11" s="8" t="n">
        <v>46328</v>
      </c>
      <c r="C11" s="7" t="n">
        <f aca="false">ROUND($C$3-$C$3*(A11-1)/(15-1),1)</f>
        <v>35.4</v>
      </c>
      <c r="D11" s="9"/>
      <c r="E11" s="10" t="str">
        <f aca="false">IF(D11="","",D11-C11)</f>
        <v/>
      </c>
      <c r="F11" s="11"/>
    </row>
    <row r="12" customFormat="false" ht="15" hidden="false" customHeight="true" outlineLevel="0" collapsed="false">
      <c r="A12" s="7" t="n">
        <v>7</v>
      </c>
      <c r="B12" s="8" t="n">
        <v>46329</v>
      </c>
      <c r="C12" s="7" t="n">
        <f aca="false">ROUND($C$3-$C$3*(A12-1)/(15-1),1)</f>
        <v>31.4</v>
      </c>
      <c r="D12" s="9"/>
      <c r="E12" s="10" t="str">
        <f aca="false">IF(D12="","",D12-C12)</f>
        <v/>
      </c>
      <c r="F12" s="11"/>
    </row>
    <row r="13" customFormat="false" ht="15" hidden="false" customHeight="true" outlineLevel="0" collapsed="false">
      <c r="A13" s="7" t="n">
        <v>8</v>
      </c>
      <c r="B13" s="8" t="n">
        <v>46330</v>
      </c>
      <c r="C13" s="7" t="n">
        <f aca="false">ROUND($C$3-$C$3*(A13-1)/(15-1),1)</f>
        <v>27.5</v>
      </c>
      <c r="D13" s="9"/>
      <c r="E13" s="10" t="str">
        <f aca="false">IF(D13="","",D13-C13)</f>
        <v/>
      </c>
      <c r="F13" s="11"/>
    </row>
    <row r="14" customFormat="false" ht="15" hidden="false" customHeight="true" outlineLevel="0" collapsed="false">
      <c r="A14" s="7" t="n">
        <v>9</v>
      </c>
      <c r="B14" s="8" t="n">
        <v>46331</v>
      </c>
      <c r="C14" s="7" t="n">
        <f aca="false">ROUND($C$3-$C$3*(A14-1)/(15-1),1)</f>
        <v>23.6</v>
      </c>
      <c r="D14" s="9"/>
      <c r="E14" s="10" t="str">
        <f aca="false">IF(D14="","",D14-C14)</f>
        <v/>
      </c>
      <c r="F14" s="11"/>
    </row>
    <row r="15" customFormat="false" ht="15" hidden="false" customHeight="true" outlineLevel="0" collapsed="false">
      <c r="A15" s="7" t="n">
        <v>10</v>
      </c>
      <c r="B15" s="8" t="n">
        <v>46332</v>
      </c>
      <c r="C15" s="7" t="n">
        <f aca="false">ROUND($C$3-$C$3*(A15-1)/(15-1),1)</f>
        <v>19.6</v>
      </c>
      <c r="D15" s="9"/>
      <c r="E15" s="10" t="str">
        <f aca="false">IF(D15="","",D15-C15)</f>
        <v/>
      </c>
      <c r="F15" s="11"/>
    </row>
    <row r="16" customFormat="false" ht="15" hidden="false" customHeight="true" outlineLevel="0" collapsed="false">
      <c r="A16" s="7" t="n">
        <v>11</v>
      </c>
      <c r="B16" s="8" t="n">
        <v>46335</v>
      </c>
      <c r="C16" s="7" t="n">
        <f aca="false">ROUND($C$3-$C$3*(A16-1)/(15-1),1)</f>
        <v>15.7</v>
      </c>
      <c r="D16" s="9"/>
      <c r="E16" s="10" t="str">
        <f aca="false">IF(D16="","",D16-C16)</f>
        <v/>
      </c>
      <c r="F16" s="11"/>
    </row>
    <row r="17" customFormat="false" ht="15" hidden="false" customHeight="true" outlineLevel="0" collapsed="false">
      <c r="A17" s="7" t="n">
        <v>12</v>
      </c>
      <c r="B17" s="8" t="n">
        <v>46336</v>
      </c>
      <c r="C17" s="7" t="n">
        <f aca="false">ROUND($C$3-$C$3*(A17-1)/(15-1),1)</f>
        <v>11.8</v>
      </c>
      <c r="D17" s="9"/>
      <c r="E17" s="10" t="str">
        <f aca="false">IF(D17="","",D17-C17)</f>
        <v/>
      </c>
      <c r="F17" s="11"/>
    </row>
    <row r="18" customFormat="false" ht="15" hidden="false" customHeight="true" outlineLevel="0" collapsed="false">
      <c r="A18" s="7" t="n">
        <v>13</v>
      </c>
      <c r="B18" s="8" t="n">
        <v>46337</v>
      </c>
      <c r="C18" s="7" t="n">
        <f aca="false">ROUND($C$3-$C$3*(A18-1)/(15-1),1)</f>
        <v>7.9</v>
      </c>
      <c r="D18" s="9"/>
      <c r="E18" s="10" t="str">
        <f aca="false">IF(D18="","",D18-C18)</f>
        <v/>
      </c>
      <c r="F18" s="11"/>
    </row>
    <row r="19" customFormat="false" ht="15" hidden="false" customHeight="true" outlineLevel="0" collapsed="false">
      <c r="A19" s="7" t="n">
        <v>14</v>
      </c>
      <c r="B19" s="8" t="n">
        <v>46338</v>
      </c>
      <c r="C19" s="7" t="n">
        <f aca="false">ROUND($C$3-$C$3*(A19-1)/(15-1),1)</f>
        <v>3.9</v>
      </c>
      <c r="D19" s="9"/>
      <c r="E19" s="10" t="str">
        <f aca="false">IF(D19="","",D19-C19)</f>
        <v/>
      </c>
      <c r="F19" s="11"/>
    </row>
    <row r="20" customFormat="false" ht="15" hidden="false" customHeight="true" outlineLevel="0" collapsed="false">
      <c r="A20" s="7" t="n">
        <v>15</v>
      </c>
      <c r="B20" s="8" t="n">
        <v>46339</v>
      </c>
      <c r="C20" s="7" t="n">
        <f aca="false">ROUND($C$3-$C$3*(A20-1)/(15-1),1)</f>
        <v>0</v>
      </c>
      <c r="D20" s="9"/>
      <c r="E20" s="10" t="str">
        <f aca="false">IF(D20="","",D20-C20)</f>
        <v/>
      </c>
      <c r="F20" s="11"/>
    </row>
    <row r="21" customFormat="false" ht="15" hidden="false" customHeight="true" outlineLevel="0" collapsed="false">
      <c r="A21" s="12" t="s">
        <v>10</v>
      </c>
    </row>
    <row r="22" customFormat="false" ht="15" hidden="false" customHeight="true" outlineLevel="0" collapsed="false">
      <c r="A22" s="13" t="s">
        <v>11</v>
      </c>
      <c r="B22" s="13"/>
      <c r="C22" s="14" t="n">
        <f aca="false">COUNT(B6:B20)</f>
        <v>15</v>
      </c>
    </row>
    <row r="23" customFormat="false" ht="15" hidden="false" customHeight="true" outlineLevel="0" collapsed="false">
      <c r="A23" s="13" t="s">
        <v>12</v>
      </c>
      <c r="B23" s="13"/>
      <c r="C23" s="14" t="n">
        <f aca="false">COUNT(D6:D20)</f>
        <v>1</v>
      </c>
    </row>
    <row r="24" customFormat="false" ht="15" hidden="false" customHeight="true" outlineLevel="0" collapsed="false">
      <c r="A24" s="13" t="s">
        <v>13</v>
      </c>
      <c r="B24" s="13"/>
      <c r="C24" s="14" t="n">
        <f aca="false">IF(C23=0,$C$3,INDEX(D6:D20,C23))</f>
        <v>55</v>
      </c>
    </row>
    <row r="25" customFormat="false" ht="15" hidden="false" customHeight="true" outlineLevel="0" collapsed="false">
      <c r="A25" s="13" t="s">
        <v>14</v>
      </c>
      <c r="B25" s="13"/>
      <c r="C25" s="14" t="n">
        <f aca="false">$C$3-C24</f>
        <v>0</v>
      </c>
    </row>
    <row r="26" customFormat="false" ht="15" hidden="false" customHeight="true" outlineLevel="0" collapsed="false">
      <c r="A26" s="13" t="s">
        <v>15</v>
      </c>
      <c r="B26" s="13"/>
      <c r="C26" s="15" t="n">
        <f aca="false">IF(C23=0,$C$3,INDEX(C6:C20,C23))</f>
        <v>55</v>
      </c>
    </row>
    <row r="27" customFormat="false" ht="15" hidden="false" customHeight="true" outlineLevel="0" collapsed="false">
      <c r="A27" s="13" t="s">
        <v>16</v>
      </c>
      <c r="B27" s="13"/>
      <c r="C27" s="15" t="n">
        <f aca="false">C24-C26</f>
        <v>0</v>
      </c>
    </row>
    <row r="28" customFormat="false" ht="15" hidden="false" customHeight="true" outlineLevel="0" collapsed="false">
      <c r="A28" s="13" t="s">
        <v>17</v>
      </c>
      <c r="B28" s="13"/>
      <c r="C28" s="14" t="n">
        <f aca="false">C22-C23</f>
        <v>14</v>
      </c>
    </row>
    <row r="30" customFormat="false" ht="15" hidden="false" customHeight="true" outlineLevel="0" collapsed="false">
      <c r="A30" s="16" t="s">
        <v>18</v>
      </c>
    </row>
    <row r="31" customFormat="false" ht="25.5" hidden="false" customHeight="true" outlineLevel="0" collapsed="false">
      <c r="A31" s="17" t="s">
        <v>19</v>
      </c>
      <c r="B31" s="17"/>
      <c r="C31" s="17"/>
      <c r="D31" s="17"/>
      <c r="E31" s="17"/>
      <c r="F31" s="17"/>
    </row>
    <row r="32" customFormat="false" ht="25.5" hidden="false" customHeight="true" outlineLevel="0" collapsed="false">
      <c r="A32" s="17" t="s">
        <v>20</v>
      </c>
      <c r="B32" s="17"/>
      <c r="C32" s="17"/>
      <c r="D32" s="17"/>
      <c r="E32" s="17"/>
      <c r="F32" s="17"/>
    </row>
    <row r="33" customFormat="false" ht="57.75" hidden="false" customHeight="true" outlineLevel="0" collapsed="false">
      <c r="A33" s="17" t="s">
        <v>21</v>
      </c>
      <c r="B33" s="17"/>
      <c r="C33" s="17"/>
      <c r="D33" s="17"/>
      <c r="E33" s="17"/>
      <c r="F33" s="17"/>
    </row>
    <row r="34" customFormat="false" ht="25.5" hidden="false" customHeight="true" outlineLevel="0" collapsed="false">
      <c r="A34" s="17" t="s">
        <v>22</v>
      </c>
      <c r="B34" s="17"/>
      <c r="C34" s="17"/>
      <c r="D34" s="17"/>
      <c r="E34" s="17"/>
      <c r="F34" s="17"/>
    </row>
    <row r="35" customFormat="false" ht="72" hidden="false" customHeight="true" outlineLevel="0" collapsed="false">
      <c r="A35" s="17" t="s">
        <v>23</v>
      </c>
      <c r="B35" s="17"/>
      <c r="C35" s="17"/>
      <c r="D35" s="17"/>
      <c r="E35" s="17"/>
      <c r="F35" s="17"/>
    </row>
  </sheetData>
  <mergeCells count="15">
    <mergeCell ref="A1:F1"/>
    <mergeCell ref="A2:F2"/>
    <mergeCell ref="A3:B3"/>
    <mergeCell ref="A22:B22"/>
    <mergeCell ref="A23:B23"/>
    <mergeCell ref="A24:B24"/>
    <mergeCell ref="A25:B25"/>
    <mergeCell ref="A26:B26"/>
    <mergeCell ref="A27:B27"/>
    <mergeCell ref="A28:B28"/>
    <mergeCell ref="A31:F31"/>
    <mergeCell ref="A32:F32"/>
    <mergeCell ref="A33:F33"/>
    <mergeCell ref="A34:F34"/>
    <mergeCell ref="A35:F35"/>
  </mergeCells>
  <conditionalFormatting sqref="E6:E1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2026-09-24T15:01:37Z</dcterms:created>
  <dc:creator>openpyxl</dc:creator>
  <dc:description/>
  <dc:language>en-US</dc:language>
  <cp:lastModifiedBy/>
  <dcterms:modified xsi:type="dcterms:W3CDTF">2026-10-26T14:20:15Z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