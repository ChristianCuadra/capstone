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<sst xmlns="http://schemas.openxmlformats.org/spreadsheetml/2006/main" count="121" uniqueCount="83">
  <si>
    <t xml:space="preserve">SPRINT BACKLOG — SPRINT 3 · Portal de clientes</t>
  </si>
  <si>
    <t xml:space="preserve">Período: 26 de octubre — 13 de noviembre de 2026 (S12–S14 según Carta Gantt; por confirmar)  |  Estado al 26 de octubre de 2026 (inicio)</t>
  </si>
  <si>
    <t xml:space="preserve">1. Historias de usuario comprometidas</t>
  </si>
  <si>
    <t xml:space="preserve">ID</t>
  </si>
  <si>
    <t xml:space="preserve">Historia</t>
  </si>
  <si>
    <t xml:space="preserve">Story Points</t>
  </si>
  <si>
    <t xml:space="preserve">Prioridad</t>
  </si>
  <si>
    <t xml:space="preserve">Responsable</t>
  </si>
  <si>
    <t xml:space="preserve">Depende de</t>
  </si>
  <si>
    <t xml:space="preserve">Estado</t>
  </si>
  <si>
    <t xml:space="preserve">Fecha término</t>
  </si>
  <si>
    <t xml:space="preserve">PC-POR-01</t>
  </si>
  <si>
    <t xml:space="preserve">Portal del cliente</t>
  </si>
  <si>
    <t xml:space="preserve">Alta</t>
  </si>
  <si>
    <t xml:space="preserve">Por definir</t>
  </si>
  <si>
    <t xml:space="preserve">PC-AUT-05, PC-AUT-07</t>
  </si>
  <si>
    <t xml:space="preserve">Por hacer</t>
  </si>
  <si>
    <t xml:space="preserve">PC-CAL-01</t>
  </si>
  <si>
    <t xml:space="preserve">Cargar contenido y enviar a revisión</t>
  </si>
  <si>
    <t xml:space="preserve">Modelo del calendario editorial (T-01), PC-AUT-04</t>
  </si>
  <si>
    <t xml:space="preserve">PC-CAL-02</t>
  </si>
  <si>
    <t xml:space="preserve">Calendario editorial</t>
  </si>
  <si>
    <t xml:space="preserve">Media</t>
  </si>
  <si>
    <t xml:space="preserve">PC-APR-01</t>
  </si>
  <si>
    <t xml:space="preserve">Aprobar o pedir cambios</t>
  </si>
  <si>
    <t xml:space="preserve">PC-CAL-01, PC-POR-01</t>
  </si>
  <si>
    <t xml:space="preserve">PC-APR-02</t>
  </si>
  <si>
    <t xml:space="preserve">Versionado y registro de aprobación</t>
  </si>
  <si>
    <t xml:space="preserve">PC-SOL-01</t>
  </si>
  <si>
    <t xml:space="preserve">Solicitudes y archivos</t>
  </si>
  <si>
    <t xml:space="preserve">PC-SOL-02</t>
  </si>
  <si>
    <t xml:space="preserve">Notificaciones</t>
  </si>
  <si>
    <t xml:space="preserve">PC-CAL-01, PC-SOL-01, correo en producción (T-04)</t>
  </si>
  <si>
    <t xml:space="preserve">PC-CUM-01</t>
  </si>
  <si>
    <t xml:space="preserve">Cumplimiento del plan (agencia)</t>
  </si>
  <si>
    <t xml:space="preserve">PC-CAL-02, PC-CLI-02</t>
  </si>
  <si>
    <t xml:space="preserve">PC-CUM-02</t>
  </si>
  <si>
    <t xml:space="preserve">Cumplimiento del plan (cliente)</t>
  </si>
  <si>
    <t xml:space="preserve">PC-CUM-01, PC-POR-01</t>
  </si>
  <si>
    <t xml:space="preserve">TOTAL COMPROMETIDO</t>
  </si>
  <si>
    <t xml:space="preserve">2. Tareas del sprint (sin story points)</t>
  </si>
  <si>
    <t xml:space="preserve">Tarea</t>
  </si>
  <si>
    <t xml:space="preserve">Observación</t>
  </si>
  <si>
    <t xml:space="preserve">T-01</t>
  </si>
  <si>
    <t xml:space="preserve">Modelo de datos del calendario editorial (apps.content)</t>
  </si>
  <si>
    <t xml:space="preserve">Criterio 3 pendiente de «Modelo de Base de Datos · extensión» (S2). Piezas de contenido, versiones, aprobaciones y solicitudes, heredando de TenantModel. Bloquea PC-CAL-01/02, PC-APR-01/02 y PC-CUM-01/02.</t>
  </si>
  <si>
    <t xml:space="preserve">T-02</t>
  </si>
  <si>
    <t xml:space="preserve">MEJORA · Correcciones de la página (QA antes de producción)</t>
  </si>
  <si>
    <t xml:space="preserve">Equipo</t>
  </si>
  <si>
    <t xml:space="preserve">Viene del Sprint 2 (T-03). Sin puntos.</t>
  </si>
  <si>
    <t xml:space="preserve">T-03</t>
  </si>
  <si>
    <t xml:space="preserve">MEJORA · Ajustes de identidad visual pedidos por la agencia</t>
  </si>
  <si>
    <t xml:space="preserve">Esteban (contacto) + equipo</t>
  </si>
  <si>
    <t xml:space="preserve">Viene del Sprint 2 (T-04). Depende de que la agencia envíe frases y colores. Sin puntos.</t>
  </si>
  <si>
    <t xml:space="preserve">T-04</t>
  </si>
  <si>
    <t xml:space="preserve">PENDIENTE · Configurar envío de correos (producción)</t>
  </si>
  <si>
    <t xml:space="preserve">Christian</t>
  </si>
  <si>
    <t xml:space="preserve">Viene del Sprint 2. Necesario para cotizaciones, PC-AUT-07 (invitación) y PC-SOL-02 (notificaciones). Resolver en la primera semana.</t>
  </si>
  <si>
    <t xml:space="preserve">T-05</t>
  </si>
  <si>
    <t xml:space="preserve">Plan de Pruebas: casos de PC-AUT-07 y ejecución de CP-057/061/062</t>
  </si>
  <si>
    <t xml:space="preserve">Agregar los casos de la activación de cuenta del cliente y registrar la ejecución de los casos de IA pendientes del S2.</t>
  </si>
  <si>
    <t xml:space="preserve">T-06</t>
  </si>
  <si>
    <t xml:space="preserve">Documentación S3 (9 documentos, una tarjeta por documento en Trello)</t>
  </si>
  <si>
    <t xml:space="preserve">Felipe: Bloque A · Rotación B/C por confirmar</t>
  </si>
  <si>
    <t xml:space="preserve">Además queda pendiente del S2 el Acta de Sprint Review S2 (reunión formal con la agencia por agendar).</t>
  </si>
  <si>
    <t xml:space="preserve">3. Resumen (se calcula solo)</t>
  </si>
  <si>
    <t xml:space="preserve">Story points comprometidos</t>
  </si>
  <si>
    <t xml:space="preserve">Story points terminados (Hecho)</t>
  </si>
  <si>
    <t xml:space="preserve">Story points trasladados a S4</t>
  </si>
  <si>
    <t xml:space="preserve">% de avance (puntos)</t>
  </si>
  <si>
    <t xml:space="preserve">Historias por hacer</t>
  </si>
  <si>
    <t xml:space="preserve">Historias en proceso</t>
  </si>
  <si>
    <t xml:space="preserve">Historias en revisión</t>
  </si>
  <si>
    <t xml:space="preserve">Historias terminadas</t>
  </si>
  <si>
    <t xml:space="preserve">Notas</t>
  </si>
  <si>
    <t xml:space="preserve">• Cómo usar: rellena solo las celdas amarillas (Responsable, Estado y Fecha término). El resumen se recalcula solo.</t>
  </si>
  <si>
    <t xml:space="preserve">• Estados: Por hacer · En proceso · En revisión · Hecho · Trasladado a S4 (mismos nombres que las listas de Trello).</t>
  </si>
  <si>
    <t xml:space="preserve">• Una historia pasa a "Hecho" solo si cumple sus criterios de aceptación del Product Backlog. Acuerdo de la Retrospective S2: revisar cada historia apenas pasa a «En revisión», sin acumularlas para el final.</t>
  </si>
  <si>
    <t xml:space="preserve">• Fuente de historias y puntos: Product Backlog (Iteración = Sprint 3). Total: 55 pts, 9 historias.</t>
  </si>
  <si>
    <t xml:space="preserve">• Responsables «Por definir»: asignarlos en la planificación del sprint con el equipo (acuerdo de la Retrospective S2: no dejar historias sin responsable).</t>
  </si>
  <si>
    <t xml:space="preserve">• Orden sugerido por dependencias: semana 1 = T-01 (modelo del calendario), T-04 (correo), PC-POR-01, PC-CAL-01; semana 2 = PC-CAL-02, PC-APR-01, PC-APR-02, PC-SOL-01; semana 3 = PC-SOL-02, PC-CUM-01, PC-CUM-02.</t>
  </si>
  <si>
    <t xml:space="preserve">• Arrastrado del Sprint 2: impedimento I-007 (cobros de la API de Gemini) y el Acta de Sprint Review S2.</t>
  </si>
  <si>
    <t xml:space="preserve">• Fechas propuestas según la Carta Gantt (S12–S14); confirmar en la planificación del sprint.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</si>
</sst>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"/>
    <numFmt numFmtId="166" formatCode="yyyy\-mm\-dd\ h:mm:ss"/>
    <numFmt numFmtId="167" formatCode="General"/>
    <numFmt numFmtId="168" formatCode="0"/>
    <numFmt numFmtId="169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color rgb="FF4040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6" min="5" style="1" width="30"/>
    <col collapsed="false" customWidth="true" hidden="false" outlineLevel="0" max="7" min="7" style="1" width="15"/>
    <col collapsed="false" customWidth="true" hidden="false" outlineLevel="0" max="8" min="8" style="1" width="1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</row>
    <row r="5" customFormat="false" ht="23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30" hidden="false" customHeight="true" outlineLevel="0" collapsed="false">
      <c r="A6" s="6" t="s">
        <v>11</v>
      </c>
      <c r="B6" s="7" t="s">
        <v>12</v>
      </c>
      <c r="C6" s="8" t="n">
        <v>8</v>
      </c>
      <c r="D6" s="8" t="s">
        <v>13</v>
      </c>
      <c r="E6" s="9" t="s">
        <v>14</v>
      </c>
      <c r="F6" s="7" t="s">
        <v>15</v>
      </c>
      <c r="G6" s="10" t="s">
        <v>16</v>
      </c>
      <c r="H6" s="11"/>
    </row>
    <row r="7" customFormat="false" ht="30" hidden="false" customHeight="true" outlineLevel="0" collapsed="false">
      <c r="A7" s="6" t="s">
        <v>17</v>
      </c>
      <c r="B7" s="7" t="s">
        <v>18</v>
      </c>
      <c r="C7" s="8" t="n">
        <v>8</v>
      </c>
      <c r="D7" s="8" t="s">
        <v>13</v>
      </c>
      <c r="E7" s="9" t="s">
        <v>14</v>
      </c>
      <c r="F7" s="7" t="s">
        <v>19</v>
      </c>
      <c r="G7" s="10" t="s">
        <v>16</v>
      </c>
      <c r="H7" s="11"/>
    </row>
    <row r="8" customFormat="false" ht="30" hidden="false" customHeight="true" outlineLevel="0" collapsed="false">
      <c r="A8" s="6" t="s">
        <v>20</v>
      </c>
      <c r="B8" s="7" t="s">
        <v>21</v>
      </c>
      <c r="C8" s="8" t="n">
        <v>5</v>
      </c>
      <c r="D8" s="8" t="s">
        <v>22</v>
      </c>
      <c r="E8" s="9" t="s">
        <v>14</v>
      </c>
      <c r="F8" s="7" t="s">
        <v>17</v>
      </c>
      <c r="G8" s="10" t="s">
        <v>16</v>
      </c>
      <c r="H8" s="12"/>
    </row>
    <row r="9" customFormat="false" ht="30" hidden="false" customHeight="true" outlineLevel="0" collapsed="false">
      <c r="A9" s="6" t="s">
        <v>23</v>
      </c>
      <c r="B9" s="7" t="s">
        <v>24</v>
      </c>
      <c r="C9" s="8" t="n">
        <v>8</v>
      </c>
      <c r="D9" s="8" t="s">
        <v>13</v>
      </c>
      <c r="E9" s="9" t="s">
        <v>14</v>
      </c>
      <c r="F9" s="7" t="s">
        <v>25</v>
      </c>
      <c r="G9" s="10" t="s">
        <v>16</v>
      </c>
      <c r="H9" s="12"/>
    </row>
    <row r="10" customFormat="false" ht="30" hidden="false" customHeight="true" outlineLevel="0" collapsed="false">
      <c r="A10" s="6" t="s">
        <v>26</v>
      </c>
      <c r="B10" s="7" t="s">
        <v>27</v>
      </c>
      <c r="C10" s="8" t="n">
        <v>5</v>
      </c>
      <c r="D10" s="8" t="s">
        <v>13</v>
      </c>
      <c r="E10" s="9" t="s">
        <v>14</v>
      </c>
      <c r="F10" s="7" t="s">
        <v>23</v>
      </c>
      <c r="G10" s="10" t="s">
        <v>16</v>
      </c>
      <c r="H10" s="11"/>
    </row>
    <row r="11" customFormat="false" ht="30" hidden="false" customHeight="true" outlineLevel="0" collapsed="false">
      <c r="A11" s="6" t="s">
        <v>28</v>
      </c>
      <c r="B11" s="7" t="s">
        <v>29</v>
      </c>
      <c r="C11" s="8" t="n">
        <v>5</v>
      </c>
      <c r="D11" s="8" t="s">
        <v>22</v>
      </c>
      <c r="E11" s="9" t="s">
        <v>14</v>
      </c>
      <c r="F11" s="7" t="s">
        <v>11</v>
      </c>
      <c r="G11" s="10" t="s">
        <v>16</v>
      </c>
      <c r="H11" s="11"/>
    </row>
    <row r="12" customFormat="false" ht="30" hidden="false" customHeight="true" outlineLevel="0" collapsed="false">
      <c r="A12" s="6" t="s">
        <v>30</v>
      </c>
      <c r="B12" s="7" t="s">
        <v>31</v>
      </c>
      <c r="C12" s="8" t="n">
        <v>5</v>
      </c>
      <c r="D12" s="8" t="s">
        <v>22</v>
      </c>
      <c r="E12" s="9" t="s">
        <v>14</v>
      </c>
      <c r="F12" s="7" t="s">
        <v>32</v>
      </c>
      <c r="G12" s="10" t="s">
        <v>16</v>
      </c>
      <c r="H12" s="11"/>
    </row>
    <row r="13" customFormat="false" ht="30" hidden="false" customHeight="true" outlineLevel="0" collapsed="false">
      <c r="A13" s="6" t="s">
        <v>33</v>
      </c>
      <c r="B13" s="7" t="s">
        <v>34</v>
      </c>
      <c r="C13" s="8" t="n">
        <v>8</v>
      </c>
      <c r="D13" s="8" t="s">
        <v>13</v>
      </c>
      <c r="E13" s="9" t="s">
        <v>14</v>
      </c>
      <c r="F13" s="7" t="s">
        <v>35</v>
      </c>
      <c r="G13" s="10" t="s">
        <v>16</v>
      </c>
      <c r="H13" s="11"/>
    </row>
    <row r="14" customFormat="false" ht="30" hidden="false" customHeight="true" outlineLevel="0" collapsed="false">
      <c r="A14" s="6" t="s">
        <v>36</v>
      </c>
      <c r="B14" s="7" t="s">
        <v>37</v>
      </c>
      <c r="C14" s="8" t="n">
        <v>3</v>
      </c>
      <c r="D14" s="8" t="s">
        <v>22</v>
      </c>
      <c r="E14" s="9" t="s">
        <v>14</v>
      </c>
      <c r="F14" s="7" t="s">
        <v>38</v>
      </c>
      <c r="G14" s="10" t="s">
        <v>16</v>
      </c>
      <c r="H14" s="11"/>
    </row>
    <row r="15" customFormat="false" ht="30" hidden="false" customHeight="true" outlineLevel="0" collapsed="false">
      <c r="A15" s="6"/>
      <c r="B15" s="7"/>
      <c r="C15" s="8"/>
      <c r="D15" s="8"/>
      <c r="E15" s="9"/>
      <c r="F15" s="7"/>
      <c r="G15" s="10"/>
      <c r="H15" s="11"/>
    </row>
    <row r="16" customFormat="false" ht="30" hidden="false" customHeight="true" outlineLevel="0" collapsed="false">
      <c r="A16" s="6"/>
      <c r="B16" s="7"/>
      <c r="C16" s="8"/>
      <c r="D16" s="8"/>
      <c r="E16" s="9"/>
      <c r="F16" s="7"/>
      <c r="G16" s="10"/>
      <c r="H16" s="11"/>
    </row>
    <row r="17" customFormat="false" ht="15" hidden="false" customHeight="true" outlineLevel="0" collapsed="false">
      <c r="A17" s="13"/>
      <c r="B17" s="13" t="s">
        <v>39</v>
      </c>
      <c r="C17" s="14" t="n">
        <f aca="false">SUM(C6:C16)</f>
        <v>55</v>
      </c>
      <c r="D17" s="13"/>
      <c r="E17" s="13"/>
      <c r="F17" s="13"/>
      <c r="G17" s="13"/>
      <c r="H17" s="13"/>
    </row>
    <row r="19" customFormat="false" ht="15" hidden="false" customHeight="true" outlineLevel="0" collapsed="false">
      <c r="A19" s="4" t="s">
        <v>40</v>
      </c>
    </row>
    <row r="20" customFormat="false" ht="15" hidden="false" customHeight="true" outlineLevel="0" collapsed="false">
      <c r="A20" s="5" t="s">
        <v>3</v>
      </c>
      <c r="B20" s="5" t="s">
        <v>41</v>
      </c>
      <c r="C20" s="5"/>
      <c r="D20" s="5"/>
      <c r="E20" s="5" t="s">
        <v>7</v>
      </c>
      <c r="F20" s="5" t="s">
        <v>42</v>
      </c>
      <c r="G20" s="5" t="s">
        <v>9</v>
      </c>
      <c r="H20" s="5" t="s">
        <v>10</v>
      </c>
    </row>
    <row r="21" customFormat="false" ht="75" hidden="false" customHeight="true" outlineLevel="0" collapsed="false">
      <c r="A21" s="6" t="s">
        <v>43</v>
      </c>
      <c r="B21" s="7" t="s">
        <v>44</v>
      </c>
      <c r="C21" s="7"/>
      <c r="D21" s="7"/>
      <c r="E21" s="9" t="s">
        <v>14</v>
      </c>
      <c r="F21" s="7" t="s">
        <v>45</v>
      </c>
      <c r="G21" s="10" t="s">
        <v>16</v>
      </c>
      <c r="H21" s="11"/>
    </row>
    <row r="22" customFormat="false" ht="75" hidden="false" customHeight="true" outlineLevel="0" collapsed="false">
      <c r="A22" s="6" t="s">
        <v>46</v>
      </c>
      <c r="B22" s="7" t="s">
        <v>47</v>
      </c>
      <c r="C22" s="7"/>
      <c r="D22" s="7"/>
      <c r="E22" s="9" t="s">
        <v>48</v>
      </c>
      <c r="F22" s="7" t="s">
        <v>49</v>
      </c>
      <c r="G22" s="10" t="s">
        <v>16</v>
      </c>
      <c r="H22" s="11"/>
    </row>
    <row r="23" customFormat="false" ht="165" hidden="false" customHeight="true" outlineLevel="0" collapsed="false">
      <c r="A23" s="6" t="s">
        <v>50</v>
      </c>
      <c r="B23" s="7" t="s">
        <v>51</v>
      </c>
      <c r="C23" s="7"/>
      <c r="D23" s="7"/>
      <c r="E23" s="9" t="s">
        <v>52</v>
      </c>
      <c r="F23" s="7" t="s">
        <v>53</v>
      </c>
      <c r="G23" s="10" t="s">
        <v>16</v>
      </c>
      <c r="H23" s="12"/>
    </row>
    <row r="24" customFormat="false" ht="135" hidden="false" customHeight="true" outlineLevel="0" collapsed="false">
      <c r="A24" s="6" t="s">
        <v>54</v>
      </c>
      <c r="B24" s="7" t="s">
        <v>55</v>
      </c>
      <c r="C24" s="7"/>
      <c r="D24" s="7"/>
      <c r="E24" s="9" t="s">
        <v>56</v>
      </c>
      <c r="F24" s="7" t="s">
        <v>57</v>
      </c>
      <c r="G24" s="10" t="s">
        <v>16</v>
      </c>
      <c r="H24" s="12"/>
    </row>
    <row r="25" customFormat="false" ht="105" hidden="false" customHeight="true" outlineLevel="0" collapsed="false">
      <c r="A25" s="6" t="s">
        <v>58</v>
      </c>
      <c r="B25" s="7" t="s">
        <v>59</v>
      </c>
      <c r="C25" s="7"/>
      <c r="D25" s="7"/>
      <c r="E25" s="9" t="s">
        <v>14</v>
      </c>
      <c r="F25" s="7" t="s">
        <v>60</v>
      </c>
      <c r="G25" s="10" t="s">
        <v>16</v>
      </c>
      <c r="H25" s="12"/>
    </row>
    <row r="26" customFormat="false" ht="150" hidden="false" customHeight="true" outlineLevel="0" collapsed="false">
      <c r="A26" s="6" t="s">
        <v>61</v>
      </c>
      <c r="B26" s="7" t="s">
        <v>62</v>
      </c>
      <c r="C26" s="7"/>
      <c r="D26" s="7"/>
      <c r="E26" s="9" t="s">
        <v>63</v>
      </c>
      <c r="F26" s="7" t="s">
        <v>64</v>
      </c>
      <c r="G26" s="10" t="s">
        <v>16</v>
      </c>
      <c r="H26" s="11"/>
    </row>
    <row r="27" customFormat="false" ht="165" hidden="false" customHeight="true" outlineLevel="0" collapsed="false">
      <c r="A27" s="6"/>
      <c r="B27" s="7"/>
      <c r="C27" s="7"/>
      <c r="D27" s="7"/>
      <c r="E27" s="9"/>
      <c r="F27" s="7"/>
      <c r="G27" s="10"/>
      <c r="H27" s="11"/>
    </row>
    <row r="29" customFormat="false" ht="15" hidden="false" customHeight="true" outlineLevel="0" collapsed="false">
      <c r="A29" s="4" t="s">
        <v>65</v>
      </c>
    </row>
    <row r="30" customFormat="false" ht="15" hidden="false" customHeight="true" outlineLevel="0" collapsed="false">
      <c r="A30" s="15" t="s">
        <v>66</v>
      </c>
      <c r="B30" s="15"/>
      <c r="C30" s="16" t="n">
        <f aca="false">SUM(C6:C16)</f>
        <v>55</v>
      </c>
    </row>
    <row r="31" customFormat="false" ht="15" hidden="false" customHeight="true" outlineLevel="0" collapsed="false">
      <c r="A31" s="15" t="s">
        <v>67</v>
      </c>
      <c r="B31" s="15"/>
      <c r="C31" s="16" t="n">
        <f aca="false">SUMIF(G6:G16,"Hecho",C6:C16)</f>
        <v>0</v>
      </c>
    </row>
    <row r="32" customFormat="false" ht="15" hidden="false" customHeight="true" outlineLevel="0" collapsed="false">
      <c r="A32" s="15" t="s">
        <v>68</v>
      </c>
      <c r="B32" s="15"/>
      <c r="C32" s="16" t="n">
        <f aca="false">SUMIF(G6:G16,"Trasladado a S4",C6:C16)</f>
        <v>0</v>
      </c>
    </row>
    <row r="33" customFormat="false" ht="15" hidden="false" customHeight="true" outlineLevel="0" collapsed="false">
      <c r="A33" s="15" t="s">
        <v>69</v>
      </c>
      <c r="B33" s="15"/>
      <c r="C33" s="17" t="n">
        <f aca="false">IF(C30=0,0,C31/C30)</f>
        <v>0</v>
      </c>
    </row>
    <row r="34" customFormat="false" ht="15" hidden="false" customHeight="true" outlineLevel="0" collapsed="false">
      <c r="A34" s="15" t="s">
        <v>70</v>
      </c>
      <c r="B34" s="15"/>
      <c r="C34" s="16" t="n">
        <f aca="false">COUNTIF(G6:G16,"Por hacer")</f>
        <v>9</v>
      </c>
    </row>
    <row r="35" customFormat="false" ht="15" hidden="false" customHeight="true" outlineLevel="0" collapsed="false">
      <c r="A35" s="15" t="s">
        <v>71</v>
      </c>
      <c r="B35" s="15"/>
      <c r="C35" s="16" t="n">
        <f aca="false">COUNTIF(G6:G16,"En proceso")</f>
        <v>0</v>
      </c>
    </row>
    <row r="36" customFormat="false" ht="15" hidden="false" customHeight="true" outlineLevel="0" collapsed="false">
      <c r="A36" s="15" t="s">
        <v>72</v>
      </c>
      <c r="B36" s="15"/>
      <c r="C36" s="16" t="n">
        <f aca="false">COUNTIF(G6:G16,"En revisión")</f>
        <v>0</v>
      </c>
    </row>
    <row r="37" customFormat="false" ht="15" hidden="false" customHeight="true" outlineLevel="0" collapsed="false">
      <c r="A37" s="15" t="s">
        <v>73</v>
      </c>
      <c r="B37" s="15"/>
      <c r="C37" s="16" t="n">
        <f aca="false">COUNTIF(G6:G16,"Hecho")</f>
        <v>0</v>
      </c>
    </row>
    <row r="39" customFormat="false" ht="15" hidden="false" customHeight="true" outlineLevel="0" collapsed="false">
      <c r="A39" s="18" t="s">
        <v>74</v>
      </c>
    </row>
    <row r="40" customFormat="false" ht="15" hidden="false" customHeight="true" outlineLevel="0" collapsed="false">
      <c r="A40" s="19" t="s">
        <v>75</v>
      </c>
      <c r="B40" s="19"/>
      <c r="C40" s="19"/>
      <c r="D40" s="19"/>
      <c r="E40" s="19"/>
      <c r="F40" s="19"/>
      <c r="G40" s="19"/>
      <c r="H40" s="19"/>
    </row>
    <row r="41" customFormat="false" ht="15" hidden="false" customHeight="true" outlineLevel="0" collapsed="false">
      <c r="A41" s="19" t="s">
        <v>76</v>
      </c>
      <c r="B41" s="19"/>
      <c r="C41" s="19"/>
      <c r="D41" s="19"/>
      <c r="E41" s="19"/>
      <c r="F41" s="19"/>
      <c r="G41" s="19"/>
      <c r="H41" s="19"/>
    </row>
    <row r="42" customFormat="false" ht="15" hidden="false" customHeight="true" outlineLevel="0" collapsed="false">
      <c r="A42" s="19" t="s">
        <v>77</v>
      </c>
      <c r="B42" s="19"/>
      <c r="C42" s="19"/>
      <c r="D42" s="19"/>
      <c r="E42" s="19"/>
      <c r="F42" s="19"/>
      <c r="G42" s="19"/>
      <c r="H42" s="19"/>
    </row>
    <row r="43" customFormat="false" ht="42" hidden="false" customHeight="true" outlineLevel="0" collapsed="false">
      <c r="A43" s="19" t="s">
        <v>78</v>
      </c>
      <c r="B43" s="19"/>
      <c r="C43" s="19"/>
      <c r="D43" s="19"/>
      <c r="E43" s="19"/>
      <c r="F43" s="19"/>
      <c r="G43" s="19"/>
      <c r="H43" s="19"/>
    </row>
    <row r="44" customFormat="false" ht="27.75" hidden="false" customHeight="true" outlineLevel="0" collapsed="false">
      <c r="A44" s="19" t="s">
        <v>79</v>
      </c>
      <c r="B44" s="19"/>
      <c r="C44" s="19"/>
      <c r="D44" s="19"/>
      <c r="E44" s="19"/>
      <c r="F44" s="19"/>
      <c r="G44" s="19"/>
      <c r="H44" s="19"/>
    </row>
    <row r="45" customFormat="false" ht="15" hidden="false" customHeight="true" outlineLevel="0" collapsed="false">
      <c r="A45" s="19" t="s">
        <v>80</v>
      </c>
      <c r="B45" s="19"/>
      <c r="C45" s="19"/>
      <c r="D45" s="19"/>
      <c r="E45" s="19"/>
      <c r="F45" s="19"/>
      <c r="G45" s="19"/>
      <c r="H45" s="19"/>
    </row>
    <row r="46" customFormat="false" ht="39.75" hidden="false" customHeight="true" outlineLevel="0" collapsed="false">
      <c r="A46" s="19" t="s">
        <v>81</v>
      </c>
      <c r="B46" s="19"/>
      <c r="C46" s="19"/>
      <c r="D46" s="19"/>
      <c r="E46" s="19"/>
      <c r="F46" s="19"/>
      <c r="G46" s="19"/>
      <c r="H46" s="19"/>
    </row>
    <row r="47" customFormat="false" ht="72" hidden="false" customHeight="true" outlineLevel="0" collapsed="false">
      <c r="A47" s="19" t="s">
        <v>82</v>
      </c>
      <c r="B47" s="19"/>
      <c r="C47" s="19"/>
      <c r="D47" s="19"/>
      <c r="E47" s="19"/>
      <c r="F47" s="19"/>
      <c r="G47" s="19"/>
      <c r="H47" s="19"/>
    </row>
    <row r="48" customFormat="false" ht="57.75" hidden="false" customHeight="true" outlineLevel="0" collapsed="false">
      <c r="A48" s="20"/>
    </row>
    <row r="49" customFormat="false" ht="57.75" hidden="false" customHeight="true" outlineLevel="0" collapsed="false">
      <c r="A49" s="20"/>
    </row>
    <row r="50" customFormat="false" ht="57.75" hidden="false" customHeight="true" outlineLevel="0" collapsed="false">
      <c r="A50" s="20"/>
    </row>
    <row r="51" customFormat="false" ht="57.75" hidden="false" customHeight="true" outlineLevel="0" collapsed="false">
      <c r="A51" s="20"/>
    </row>
    <row r="52" customFormat="false" ht="57.75" hidden="false" customHeight="true" outlineLevel="0" collapsed="false">
      <c r="A52" s="20"/>
    </row>
    <row r="53" customFormat="false" ht="57.75" hidden="false" customHeight="true" outlineLevel="0" collapsed="false">
      <c r="A53" s="20"/>
    </row>
  </sheetData>
  <mergeCells count="26">
    <mergeCell ref="A1:H1"/>
    <mergeCell ref="A2:H2"/>
    <mergeCell ref="B20:D20"/>
    <mergeCell ref="B21:D21"/>
    <mergeCell ref="B22:D22"/>
    <mergeCell ref="B23:D23"/>
    <mergeCell ref="B24:D24"/>
    <mergeCell ref="B25:D25"/>
    <mergeCell ref="B26:D26"/>
    <mergeCell ref="B27:D27"/>
    <mergeCell ref="A30:B30"/>
    <mergeCell ref="A31:B31"/>
    <mergeCell ref="A32:B32"/>
    <mergeCell ref="A33:B33"/>
    <mergeCell ref="A34:B34"/>
    <mergeCell ref="A35:B35"/>
    <mergeCell ref="A36:B36"/>
    <mergeCell ref="A37:B37"/>
    <mergeCell ref="A40:H40"/>
    <mergeCell ref="A41:H41"/>
    <mergeCell ref="A42:H42"/>
    <mergeCell ref="A43:H43"/>
    <mergeCell ref="A44:H44"/>
    <mergeCell ref="A45:H45"/>
    <mergeCell ref="A46:H46"/>
    <mergeCell ref="A47:H47"/>
  </mergeCells>
  <conditionalFormatting sqref="G6:G16">
    <cfRule type="cellIs" priority="2" operator="equal" aboveAverage="0" equalAverage="0" bottom="0" percent="0" rank="0" text="" dxfId="0">
      <formula>"Por hacer"</formula>
    </cfRule>
    <cfRule type="cellIs" priority="3" operator="equal" aboveAverage="0" equalAverage="0" bottom="0" percent="0" rank="0" text="" dxfId="1">
      <formula>"En proceso"</formula>
    </cfRule>
    <cfRule type="cellIs" priority="4" operator="equal" aboveAverage="0" equalAverage="0" bottom="0" percent="0" rank="0" text="" dxfId="2">
      <formula>"En revisión"</formula>
    </cfRule>
    <cfRule type="cellIs" priority="5" operator="equal" aboveAverage="0" equalAverage="0" bottom="0" percent="0" rank="0" text="" dxfId="3">
      <formula>"Hecho"</formula>
    </cfRule>
    <cfRule type="cellIs" priority="6" operator="equal" aboveAverage="0" equalAverage="0" bottom="0" percent="0" rank="0" text="" dxfId="4">
      <formula>"Trasladado a S3"</formula>
    </cfRule>
  </conditionalFormatting>
  <conditionalFormatting sqref="G21:G27">
    <cfRule type="cellIs" priority="7" operator="equal" aboveAverage="0" equalAverage="0" bottom="0" percent="0" rank="0" text="" dxfId="0">
      <formula>"Por hacer"</formula>
    </cfRule>
    <cfRule type="cellIs" priority="8" operator="equal" aboveAverage="0" equalAverage="0" bottom="0" percent="0" rank="0" text="" dxfId="1">
      <formula>"En proceso"</formula>
    </cfRule>
    <cfRule type="cellIs" priority="9" operator="equal" aboveAverage="0" equalAverage="0" bottom="0" percent="0" rank="0" text="" dxfId="2">
      <formula>"En revisión"</formula>
    </cfRule>
    <cfRule type="cellIs" priority="10" operator="equal" aboveAverage="0" equalAverage="0" bottom="0" percent="0" rank="0" text="" dxfId="3">
      <formula>"Hecho"</formula>
    </cfRule>
    <cfRule type="cellIs" priority="11" operator="equal" aboveAverage="0" equalAverage="0" bottom="0" percent="0" rank="0" text="" dxfId="4">
      <formula>"Trasladado a S3"</formula>
    </cfRule>
  </conditionalFormatting>
  <dataValidations count="1">
    <dataValidation allowBlank="true" errorStyle="stop" operator="between" showDropDown="false" showErrorMessage="false" showInputMessage="false" sqref="G6:G16 G21:G27" type="list">
      <formula1>"Por hacer,En proceso,En revisión,Hecho,Trasladado a S4"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2026-09-24T15:11:59Z</dcterms:created>
  <dc:creator>openpyxl</dc:creator>
  <dc:description/>
  <dc:language>en-US</dc:language>
  <cp:lastModifiedBy/>
  <dcterms:modified xsi:type="dcterms:W3CDTF">2026-10-26T17:20:10Z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