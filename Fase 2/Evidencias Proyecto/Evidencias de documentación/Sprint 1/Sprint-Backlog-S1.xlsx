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4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 patternType="solid">
          <fgColor rgb="FFD9D9D9"/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4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7" min="1" max="1"/>
    <col width="38" customWidth="1" style="17" min="2" max="2"/>
    <col width="11" customWidth="1" style="17" min="3" max="3"/>
    <col width="10" customWidth="1" style="17" min="4" max="4"/>
    <col width="30" customWidth="1" style="17" min="5" max="6"/>
    <col width="15" customWidth="1" style="17" min="7" max="7"/>
    <col width="13" customWidth="1" style="17" min="8" max="8"/>
  </cols>
  <sheetData>
    <row r="1" ht="25.5" customHeight="1" s="18">
      <c r="A1" s="19" t="inlineStr">
        <is>
          <t>SPRINT BACKLOG — SPRINT 1 · Base del sistema y sitio corporativo</t>
        </is>
      </c>
    </row>
    <row r="2" ht="15" customHeight="1" s="18">
      <c r="A2" s="20" t="inlineStr">
        <is>
          <t>Período: 7 de septiembre — 2 de octubre de 2026  |  Estado al 5 de octubre de 2026 (sprint cerrado)</t>
        </is>
      </c>
    </row>
    <row r="4" ht="15" customHeight="1" s="18">
      <c r="A4" s="21" t="inlineStr">
        <is>
          <t>1. Historias de usuario comprometidas</t>
        </is>
      </c>
    </row>
    <row r="5" ht="23.85" customHeight="1" s="18">
      <c r="A5" s="22" t="inlineStr">
        <is>
          <t>ID</t>
        </is>
      </c>
      <c r="B5" s="22" t="inlineStr">
        <is>
          <t>Historia</t>
        </is>
      </c>
      <c r="C5" s="22" t="inlineStr">
        <is>
          <t>Story Points</t>
        </is>
      </c>
      <c r="D5" s="22" t="inlineStr">
        <is>
          <t>Prioridad</t>
        </is>
      </c>
      <c r="E5" s="22" t="inlineStr">
        <is>
          <t>Responsable</t>
        </is>
      </c>
      <c r="F5" s="22" t="inlineStr">
        <is>
          <t>Depende de</t>
        </is>
      </c>
      <c r="G5" s="22" t="inlineStr">
        <is>
          <t>Estado</t>
        </is>
      </c>
      <c r="H5" s="22" t="inlineStr">
        <is>
          <t>Fecha término</t>
        </is>
      </c>
    </row>
    <row r="6" ht="15" customHeight="1" s="18">
      <c r="A6" s="23" t="inlineStr">
        <is>
          <t>PC-AUT-01</t>
        </is>
      </c>
      <c r="B6" s="24" t="inlineStr">
        <is>
          <t>Inicio y cierre de sesión</t>
        </is>
      </c>
      <c r="C6" s="25" t="n">
        <v>3</v>
      </c>
      <c r="D6" s="25" t="inlineStr">
        <is>
          <t>Alta</t>
        </is>
      </c>
      <c r="E6" s="26" t="inlineStr">
        <is>
          <t>Por definir</t>
        </is>
      </c>
      <c r="F6" s="24" t="inlineStr">
        <is>
          <t>Modelo BD</t>
        </is>
      </c>
      <c r="G6" s="27" t="inlineStr">
        <is>
          <t>Hecho</t>
        </is>
      </c>
      <c r="H6" s="28" t="n">
        <v>46290</v>
      </c>
    </row>
    <row r="7" ht="15" customHeight="1" s="18">
      <c r="A7" s="23" t="inlineStr">
        <is>
          <t>PC-AUT-02</t>
        </is>
      </c>
      <c r="B7" s="24" t="inlineStr">
        <is>
          <t>2FA para administradoras</t>
        </is>
      </c>
      <c r="C7" s="25" t="n">
        <v>3</v>
      </c>
      <c r="D7" s="25" t="inlineStr">
        <is>
          <t>Alta</t>
        </is>
      </c>
      <c r="E7" s="26" t="inlineStr">
        <is>
          <t>Por definir</t>
        </is>
      </c>
      <c r="F7" s="24" t="inlineStr">
        <is>
          <t>PC-AUT-01</t>
        </is>
      </c>
      <c r="G7" s="27" t="inlineStr">
        <is>
          <t>Hecho</t>
        </is>
      </c>
      <c r="H7" s="28" t="n">
        <v>46291</v>
      </c>
    </row>
    <row r="8" ht="15" customHeight="1" s="18">
      <c r="A8" s="23" t="inlineStr">
        <is>
          <t>PC-AUT-03</t>
        </is>
      </c>
      <c r="B8" s="24" t="inlineStr">
        <is>
          <t>Gestión de usuarios y roles</t>
        </is>
      </c>
      <c r="C8" s="25" t="n">
        <v>5</v>
      </c>
      <c r="D8" s="25" t="inlineStr">
        <is>
          <t>Alta</t>
        </is>
      </c>
      <c r="E8" s="26" t="inlineStr">
        <is>
          <t>Por definir</t>
        </is>
      </c>
      <c r="F8" s="24" t="inlineStr">
        <is>
          <t>Modelo BD, PC-AUT-01</t>
        </is>
      </c>
      <c r="G8" s="27" t="inlineStr">
        <is>
          <t>Hecho</t>
        </is>
      </c>
      <c r="H8" s="28" t="n">
        <v>46290</v>
      </c>
    </row>
    <row r="9" ht="15" customHeight="1" s="18">
      <c r="A9" s="23" t="inlineStr">
        <is>
          <t>PC-AUT-04</t>
        </is>
      </c>
      <c r="B9" s="24" t="inlineStr">
        <is>
          <t>Colaboradora solo ve sus clientes</t>
        </is>
      </c>
      <c r="C9" s="25" t="n">
        <v>8</v>
      </c>
      <c r="D9" s="25" t="inlineStr">
        <is>
          <t>Alta</t>
        </is>
      </c>
      <c r="E9" s="26" t="inlineStr">
        <is>
          <t>Grupal (guía propuesto: Christian)</t>
        </is>
      </c>
      <c r="F9" s="24" t="inlineStr">
        <is>
          <t>Modelo BD, PC-AUT-03</t>
        </is>
      </c>
      <c r="G9" s="27" t="inlineStr">
        <is>
          <t>Trasladado a S2</t>
        </is>
      </c>
      <c r="H9" s="27" t="n"/>
    </row>
    <row r="10" ht="15" customHeight="1" s="18">
      <c r="A10" s="23" t="inlineStr">
        <is>
          <t>PC-AUT-05</t>
        </is>
      </c>
      <c r="B10" s="24" t="inlineStr">
        <is>
          <t>Cliente solo ve su empresa</t>
        </is>
      </c>
      <c r="C10" s="25" t="n">
        <v>8</v>
      </c>
      <c r="D10" s="25" t="inlineStr">
        <is>
          <t>Alta</t>
        </is>
      </c>
      <c r="E10" s="26" t="inlineStr">
        <is>
          <t>Grupal (guía por definir)</t>
        </is>
      </c>
      <c r="F10" s="24" t="inlineStr">
        <is>
          <t>Modelo BD, PC-AUT-03</t>
        </is>
      </c>
      <c r="G10" s="27" t="inlineStr">
        <is>
          <t>Trasladado a S2</t>
        </is>
      </c>
      <c r="H10" s="27" t="n"/>
    </row>
    <row r="11" ht="15" customHeight="1" s="18">
      <c r="A11" s="23" t="inlineStr">
        <is>
          <t>PC-AUT-06</t>
        </is>
      </c>
      <c r="B11" s="24" t="inlineStr">
        <is>
          <t>Log de auditoría</t>
        </is>
      </c>
      <c r="C11" s="25" t="n">
        <v>5</v>
      </c>
      <c r="D11" s="25" t="inlineStr">
        <is>
          <t>Media</t>
        </is>
      </c>
      <c r="E11" s="26" t="inlineStr">
        <is>
          <t>Por definir</t>
        </is>
      </c>
      <c r="F11" s="24" t="inlineStr">
        <is>
          <t>Modelo BD</t>
        </is>
      </c>
      <c r="G11" s="27" t="inlineStr">
        <is>
          <t>Hecho</t>
        </is>
      </c>
      <c r="H11" s="28" t="n">
        <v>46291</v>
      </c>
    </row>
    <row r="12" ht="15" customHeight="1" s="18">
      <c r="A12" s="23" t="inlineStr">
        <is>
          <t>PC-CAT-01</t>
        </is>
      </c>
      <c r="B12" s="24" t="inlineStr">
        <is>
          <t>Catálogo de planes</t>
        </is>
      </c>
      <c r="C12" s="25" t="n">
        <v>5</v>
      </c>
      <c r="D12" s="25" t="inlineStr">
        <is>
          <t>Alta</t>
        </is>
      </c>
      <c r="E12" s="26" t="inlineStr">
        <is>
          <t>Por definir</t>
        </is>
      </c>
      <c r="F12" s="24" t="inlineStr">
        <is>
          <t>Modelo BD</t>
        </is>
      </c>
      <c r="G12" s="27" t="inlineStr">
        <is>
          <t>Hecho</t>
        </is>
      </c>
      <c r="H12" s="28" t="n">
        <v>46291</v>
      </c>
    </row>
    <row r="13" ht="15" customHeight="1" s="18">
      <c r="A13" s="23" t="inlineStr">
        <is>
          <t>PC-CAT-02</t>
        </is>
      </c>
      <c r="B13" s="24" t="inlineStr">
        <is>
          <t>Catálogo de servicios</t>
        </is>
      </c>
      <c r="C13" s="25" t="n">
        <v>3</v>
      </c>
      <c r="D13" s="25" t="inlineStr">
        <is>
          <t>Media</t>
        </is>
      </c>
      <c r="E13" s="26" t="inlineStr">
        <is>
          <t>Por definir</t>
        </is>
      </c>
      <c r="F13" s="24" t="inlineStr">
        <is>
          <t>Modelo BD</t>
        </is>
      </c>
      <c r="G13" s="27" t="inlineStr">
        <is>
          <t>Hecho</t>
        </is>
      </c>
      <c r="H13" s="28" t="n">
        <v>46290</v>
      </c>
    </row>
    <row r="14" ht="15" customHeight="1" s="18">
      <c r="A14" s="23" t="inlineStr">
        <is>
          <t>PC-WEB-01</t>
        </is>
      </c>
      <c r="B14" s="24" t="inlineStr">
        <is>
          <t>Sitio muestra planes y servicios</t>
        </is>
      </c>
      <c r="C14" s="25" t="n">
        <v>5</v>
      </c>
      <c r="D14" s="25" t="inlineStr">
        <is>
          <t>Alta</t>
        </is>
      </c>
      <c r="E14" s="26" t="inlineStr">
        <is>
          <t>Por definir</t>
        </is>
      </c>
      <c r="F14" s="24" t="inlineStr">
        <is>
          <t>PC-CAT-01, PC-CAT-02</t>
        </is>
      </c>
      <c r="G14" s="27" t="inlineStr">
        <is>
          <t>Hecho</t>
        </is>
      </c>
      <c r="H14" s="28" t="n">
        <v>46290</v>
      </c>
    </row>
    <row r="15" ht="15" customHeight="1" s="18">
      <c r="A15" s="23" t="inlineStr">
        <is>
          <t>PC-WEB-02</t>
        </is>
      </c>
      <c r="B15" s="24" t="inlineStr">
        <is>
          <t>CMS del sitio</t>
        </is>
      </c>
      <c r="C15" s="25" t="n">
        <v>8</v>
      </c>
      <c r="D15" s="25" t="inlineStr">
        <is>
          <t>Alta</t>
        </is>
      </c>
      <c r="E15" s="26" t="inlineStr">
        <is>
          <t>Felipe</t>
        </is>
      </c>
      <c r="F15" s="24" t="inlineStr">
        <is>
          <t>—</t>
        </is>
      </c>
      <c r="G15" s="27" t="inlineStr">
        <is>
          <t>Hecho</t>
        </is>
      </c>
      <c r="H15" s="28" t="n">
        <v>46293</v>
      </c>
    </row>
    <row r="16" ht="15" customHeight="1" s="18">
      <c r="A16" s="23" t="inlineStr">
        <is>
          <t>PC-WEB-03</t>
        </is>
      </c>
      <c r="B16" s="24" t="inlineStr">
        <is>
          <t>Sitio responsivo y accesible</t>
        </is>
      </c>
      <c r="C16" s="25" t="n">
        <v>3</v>
      </c>
      <c r="D16" s="25" t="inlineStr">
        <is>
          <t>Media</t>
        </is>
      </c>
      <c r="E16" s="26" t="inlineStr">
        <is>
          <t>Por definir</t>
        </is>
      </c>
      <c r="F16" s="24" t="inlineStr">
        <is>
          <t>—</t>
        </is>
      </c>
      <c r="G16" s="27" t="inlineStr">
        <is>
          <t>Hecho</t>
        </is>
      </c>
      <c r="H16" s="28" t="n">
        <v>46292</v>
      </c>
    </row>
    <row r="17" ht="15" customHeight="1" s="18">
      <c r="A17" s="23" t="inlineStr">
        <is>
          <t>PC-SEO-01</t>
        </is>
      </c>
      <c r="B17" s="24" t="inlineStr">
        <is>
          <t>SEO técnico</t>
        </is>
      </c>
      <c r="C17" s="25" t="n">
        <v>5</v>
      </c>
      <c r="D17" s="25" t="inlineStr">
        <is>
          <t>Media</t>
        </is>
      </c>
      <c r="E17" s="26" t="inlineStr">
        <is>
          <t>Por definir</t>
        </is>
      </c>
      <c r="F17" s="24" t="inlineStr">
        <is>
          <t>PC-WEB-02</t>
        </is>
      </c>
      <c r="G17" s="27" t="inlineStr">
        <is>
          <t>Hecho</t>
        </is>
      </c>
      <c r="H17" s="28" t="n">
        <v>46291</v>
      </c>
    </row>
    <row r="18" ht="15" customHeight="1" s="18">
      <c r="A18" s="23" t="inlineStr">
        <is>
          <t>PC-SEO-02</t>
        </is>
      </c>
      <c r="B18" s="24" t="inlineStr">
        <is>
          <t>Analítica con consentimiento</t>
        </is>
      </c>
      <c r="C18" s="25" t="n">
        <v>5</v>
      </c>
      <c r="D18" s="25" t="inlineStr">
        <is>
          <t>Media</t>
        </is>
      </c>
      <c r="E18" s="26" t="inlineStr">
        <is>
          <t>Por definir</t>
        </is>
      </c>
      <c r="F18" s="24" t="inlineStr">
        <is>
          <t>—</t>
        </is>
      </c>
      <c r="G18" s="27" t="inlineStr">
        <is>
          <t>Hecho</t>
        </is>
      </c>
      <c r="H18" s="28" t="n">
        <v>46291</v>
      </c>
    </row>
    <row r="19" ht="15" customHeight="1" s="18">
      <c r="A19" s="23" t="inlineStr">
        <is>
          <t>PC-CAP-01</t>
        </is>
      </c>
      <c r="B19" s="24" t="inlineStr">
        <is>
          <t>Formulario de captación</t>
        </is>
      </c>
      <c r="C19" s="25" t="n">
        <v>5</v>
      </c>
      <c r="D19" s="25" t="inlineStr">
        <is>
          <t>Alta</t>
        </is>
      </c>
      <c r="E19" s="26" t="inlineStr">
        <is>
          <t>Por definir</t>
        </is>
      </c>
      <c r="F19" s="24" t="inlineStr">
        <is>
          <t>Modelo BD</t>
        </is>
      </c>
      <c r="G19" s="27" t="inlineStr">
        <is>
          <t>Hecho</t>
        </is>
      </c>
      <c r="H19" s="28" t="n">
        <v>46290</v>
      </c>
    </row>
    <row r="20" ht="15" customHeight="1" s="18">
      <c r="A20" s="23" t="inlineStr">
        <is>
          <t>PC-TEC-02</t>
        </is>
      </c>
      <c r="B20" s="24" t="inlineStr">
        <is>
          <t>Integración continua</t>
        </is>
      </c>
      <c r="C20" s="25" t="n">
        <v>5</v>
      </c>
      <c r="D20" s="25" t="inlineStr">
        <is>
          <t>Alta</t>
        </is>
      </c>
      <c r="E20" s="26" t="inlineStr">
        <is>
          <t>Por definir</t>
        </is>
      </c>
      <c r="F20" s="24" t="inlineStr">
        <is>
          <t>—</t>
        </is>
      </c>
      <c r="G20" s="27" t="inlineStr">
        <is>
          <t>Hecho</t>
        </is>
      </c>
      <c r="H20" s="28" t="n">
        <v>46291</v>
      </c>
    </row>
    <row r="21" ht="15" customHeight="1" s="18">
      <c r="A21" s="23" t="inlineStr">
        <is>
          <t>PC-TEC-03</t>
        </is>
      </c>
      <c r="B21" s="24" t="inlineStr">
        <is>
          <t>Ambiente de pruebas desplegado en GCP</t>
        </is>
      </c>
      <c r="C21" s="25" t="n">
        <v>5</v>
      </c>
      <c r="D21" s="25" t="inlineStr">
        <is>
          <t>Alta</t>
        </is>
      </c>
      <c r="E21" s="26" t="inlineStr">
        <is>
          <t>Esteban y Christian</t>
        </is>
      </c>
      <c r="F21" s="24" t="inlineStr">
        <is>
          <t>Modelo BD</t>
        </is>
      </c>
      <c r="G21" s="27" t="inlineStr">
        <is>
          <t>Fuera de alcance</t>
        </is>
      </c>
      <c r="H21" s="27" t="n"/>
    </row>
    <row r="22" ht="23.85" customHeight="1" s="18">
      <c r="A22" s="23" t="inlineStr">
        <is>
          <t>PC-TEC-04</t>
        </is>
      </c>
      <c r="B22" s="24" t="inlineStr">
        <is>
          <t>Suite de pruebas de aislamiento</t>
        </is>
      </c>
      <c r="C22" s="25" t="n">
        <v>8</v>
      </c>
      <c r="D22" s="25" t="inlineStr">
        <is>
          <t>Alta</t>
        </is>
      </c>
      <c r="E22" s="26" t="inlineStr">
        <is>
          <t>Grupal (guía por definir)</t>
        </is>
      </c>
      <c r="F22" s="24" t="inlineStr">
        <is>
          <t>PC-AUT-04, PC-AUT-05, PC-TEC-02</t>
        </is>
      </c>
      <c r="G22" s="27" t="inlineStr">
        <is>
          <t>Trasladado a S2</t>
        </is>
      </c>
      <c r="H22" s="27" t="n"/>
    </row>
    <row r="23" ht="15" customHeight="1" s="18">
      <c r="A23" s="29" t="n"/>
      <c r="B23" s="29" t="inlineStr">
        <is>
          <t>TOTAL COMPROMETIDO</t>
        </is>
      </c>
      <c r="C23" s="30">
        <f>SUM(C6:C22)</f>
        <v/>
      </c>
      <c r="D23" s="29" t="n"/>
      <c r="E23" s="29" t="n"/>
      <c r="F23" s="29" t="n"/>
      <c r="G23" s="29" t="n"/>
      <c r="H23" s="29" t="n"/>
    </row>
    <row r="25" ht="15" customHeight="1" s="18">
      <c r="A25" s="21" t="inlineStr">
        <is>
          <t>2. Tareas del sprint (sin story points)</t>
        </is>
      </c>
    </row>
    <row r="26" ht="15" customHeight="1" s="18">
      <c r="A26" s="22" t="inlineStr">
        <is>
          <t>ID</t>
        </is>
      </c>
      <c r="B26" s="22" t="inlineStr">
        <is>
          <t>Tarea</t>
        </is>
      </c>
      <c r="C26" s="31" t="n"/>
      <c r="D26" s="32" t="n"/>
      <c r="E26" s="22" t="inlineStr">
        <is>
          <t>Responsable</t>
        </is>
      </c>
      <c r="F26" s="22" t="inlineStr">
        <is>
          <t>Observación</t>
        </is>
      </c>
      <c r="G26" s="22" t="inlineStr">
        <is>
          <t>Estado</t>
        </is>
      </c>
      <c r="H26" s="22" t="inlineStr">
        <is>
          <t>Fecha término</t>
        </is>
      </c>
    </row>
    <row r="27" ht="30" customHeight="1" s="18">
      <c r="A27" s="23" t="inlineStr">
        <is>
          <t>T-01</t>
        </is>
      </c>
      <c r="B27" s="24" t="inlineStr">
        <is>
          <t>Modelo de base de datos (trasladado desde S0)</t>
        </is>
      </c>
      <c r="C27" s="31" t="n"/>
      <c r="D27" s="32" t="n"/>
      <c r="E27" s="26" t="inlineStr">
        <is>
          <t>Esteban</t>
        </is>
      </c>
      <c r="F27" s="24" t="inlineStr">
        <is>
          <t>Cerrado para alcance S1 (ver Anexo Modelo de Datos, adjunto al Documento de Arquitectura). Motor: PostgreSQL. Extension pendiente (TenantModel en entidades reales + selector de cliente colaboradora) movida a Sprint 2.</t>
        </is>
      </c>
      <c r="G27" s="27" t="inlineStr">
        <is>
          <t>Hecho</t>
        </is>
      </c>
      <c r="H27" s="28" t="n">
        <v>46291</v>
      </c>
    </row>
    <row r="28" ht="30" customHeight="1" s="18">
      <c r="A28" s="23" t="inlineStr">
        <is>
          <t>T-02</t>
        </is>
      </c>
      <c r="B28" s="24" t="inlineStr">
        <is>
          <t>Tres vistas de usuario (Sitio corporativo, Portal de cliente, Panel interno)</t>
        </is>
      </c>
      <c r="C28" s="31" t="n"/>
      <c r="D28" s="32" t="n"/>
      <c r="E28" s="26" t="inlineStr">
        <is>
          <t>Esteban</t>
        </is>
      </c>
      <c r="F28" s="24" t="inlineStr">
        <is>
          <t>Hecha en Trello. No corresponde a ninguna historia; no suma puntos. Fecha de término por completar.</t>
        </is>
      </c>
      <c r="G28" s="27" t="inlineStr">
        <is>
          <t>Hecho</t>
        </is>
      </c>
      <c r="H28" s="27" t="n"/>
    </row>
    <row r="29" ht="30" customHeight="1" s="18">
      <c r="A29" s="23" t="inlineStr">
        <is>
          <t>T-03</t>
        </is>
      </c>
      <c r="B29" s="24" t="inlineStr">
        <is>
          <t>Replanificar Sprint 1 (qué pasa a S2)</t>
        </is>
      </c>
      <c r="C29" s="31" t="n"/>
      <c r="D29" s="32" t="n"/>
      <c r="E29" s="26" t="inlineStr">
        <is>
          <t>Equipo (guía: Felipe)</t>
        </is>
      </c>
      <c r="F29" s="24" t="inlineStr">
        <is>
          <t>Decidido: PC-AUT-04, PC-AUT-05 y PC-TEC-04 (24 pts) se trasladan a Sprint 2 por depender del aislamiento entre clientes, fuera de alcance S1.</t>
        </is>
      </c>
      <c r="G29" s="27" t="inlineStr">
        <is>
          <t>Hecho</t>
        </is>
      </c>
      <c r="H29" s="28" t="n">
        <v>46291</v>
      </c>
    </row>
    <row r="30" ht="30" customHeight="1" s="18">
      <c r="A30" s="23" t="inlineStr">
        <is>
          <t>T-04</t>
        </is>
      </c>
      <c r="B30" s="24" t="inlineStr">
        <is>
          <t>Documentación Bloque A: Sprint Backlog, Burndown, Kanban</t>
        </is>
      </c>
      <c r="C30" s="31" t="n"/>
      <c r="D30" s="32" t="n"/>
      <c r="E30" s="26" t="inlineStr">
        <is>
          <t>Felipe</t>
        </is>
      </c>
      <c r="F30" s="24" t="inlineStr">
        <is>
          <t>Documentos del Bloque A entregados (en Hecho en Trello). Fecha de término por completar.</t>
        </is>
      </c>
      <c r="G30" s="27" t="inlineStr">
        <is>
          <t>Hecho</t>
        </is>
      </c>
      <c r="H30" s="27" t="n"/>
    </row>
    <row r="31" ht="30" customHeight="1" s="18">
      <c r="A31" s="23" t="inlineStr">
        <is>
          <t>T-05</t>
        </is>
      </c>
      <c r="B31" s="24" t="inlineStr">
        <is>
          <t>Documentación Bloque B: Daily, Impediment Log, Registro Agencia</t>
        </is>
      </c>
      <c r="C31" s="31" t="n"/>
      <c r="D31" s="32" t="n"/>
      <c r="E31" s="26" t="inlineStr">
        <is>
          <t>Christian o Esteban (eligen)</t>
        </is>
      </c>
      <c r="F31" s="24" t="inlineStr">
        <is>
          <t>Documentos del Bloque B entregados (en Hecho en Trello). Fecha de término por completar.</t>
        </is>
      </c>
      <c r="G31" s="27" t="inlineStr">
        <is>
          <t>Hecho</t>
        </is>
      </c>
      <c r="H31" s="27" t="n"/>
    </row>
    <row r="32" ht="30" customHeight="1" s="18">
      <c r="A32" s="23" t="inlineStr">
        <is>
          <t>T-06</t>
        </is>
      </c>
      <c r="B32" s="24" t="inlineStr">
        <is>
          <t>Documentación Bloque C: Incremento, Acta Review, Acta Retro</t>
        </is>
      </c>
      <c r="C32" s="31" t="n"/>
      <c r="D32" s="32" t="n"/>
      <c r="E32" s="26" t="inlineStr">
        <is>
          <t>Christian o Esteban (eligen)</t>
        </is>
      </c>
      <c r="F32" s="24" t="inlineStr">
        <is>
          <t>Documentos del Bloque C entregados (en Hecho en Trello). Fecha de término por completar.</t>
        </is>
      </c>
      <c r="G32" s="27" t="inlineStr">
        <is>
          <t>Hecho</t>
        </is>
      </c>
      <c r="H32" s="27" t="n"/>
    </row>
    <row r="34" ht="15" customHeight="1" s="18">
      <c r="A34" s="21" t="inlineStr">
        <is>
          <t>3. Resumen (se calcula solo)</t>
        </is>
      </c>
    </row>
    <row r="35" ht="15" customHeight="1" s="18">
      <c r="A35" s="33" t="inlineStr">
        <is>
          <t>Story points comprometidos</t>
        </is>
      </c>
      <c r="B35" s="32" t="n"/>
      <c r="C35" s="34">
        <f>SUM(C6:C22)</f>
        <v/>
      </c>
    </row>
    <row r="36" ht="15" customHeight="1" s="18">
      <c r="A36" s="33" t="inlineStr">
        <is>
          <t>Story points terminados (Hecho)</t>
        </is>
      </c>
      <c r="B36" s="32" t="n"/>
      <c r="C36" s="34">
        <f>SUMIF(G6:G22,"Hecho",C6:C22)</f>
        <v/>
      </c>
    </row>
    <row r="37" ht="15" customHeight="1" s="18">
      <c r="A37" s="33" t="inlineStr">
        <is>
          <t>Story points trasladados a S2</t>
        </is>
      </c>
      <c r="B37" s="32" t="n"/>
      <c r="C37" s="34">
        <f>SUMIF(G6:G22,"Trasladado a S2",C6:C22)</f>
        <v/>
      </c>
    </row>
    <row r="38" ht="15" customHeight="1" s="18">
      <c r="A38" s="33" t="inlineStr">
        <is>
          <t>% de avance (puntos)</t>
        </is>
      </c>
      <c r="B38" s="32" t="n"/>
      <c r="C38" s="35">
        <f>IF(C35=0,0,C36/C35)</f>
        <v/>
      </c>
    </row>
    <row r="39" ht="15" customHeight="1" s="18">
      <c r="A39" s="33" t="inlineStr">
        <is>
          <t>Historias por hacer</t>
        </is>
      </c>
      <c r="B39" s="32" t="n"/>
      <c r="C39" s="34">
        <f>COUNTIF(G6:G22,"Por hacer")</f>
        <v/>
      </c>
    </row>
    <row r="40" ht="15" customHeight="1" s="18">
      <c r="A40" s="33" t="inlineStr">
        <is>
          <t>Historias en proceso</t>
        </is>
      </c>
      <c r="B40" s="32" t="n"/>
      <c r="C40" s="34">
        <f>COUNTIF(G6:G22,"En proceso")</f>
        <v/>
      </c>
    </row>
    <row r="41" ht="15" customHeight="1" s="18">
      <c r="A41" s="33" t="inlineStr">
        <is>
          <t>Historias en revisión</t>
        </is>
      </c>
      <c r="B41" s="32" t="n"/>
      <c r="C41" s="34">
        <f>COUNTIF(G6:G22,"En revisión")</f>
        <v/>
      </c>
    </row>
    <row r="42" ht="15" customHeight="1" s="18">
      <c r="A42" s="33" t="inlineStr">
        <is>
          <t>Historias terminadas</t>
        </is>
      </c>
      <c r="B42" s="32" t="n"/>
      <c r="C42" s="34">
        <f>COUNTIF(G6:G22,"Hecho")</f>
        <v/>
      </c>
    </row>
    <row r="44" ht="15" customHeight="1" s="18">
      <c r="A44" s="36" t="inlineStr">
        <is>
          <t>Notas</t>
        </is>
      </c>
    </row>
    <row r="45" ht="15" customHeight="1" s="18">
      <c r="A45" s="37" t="inlineStr">
        <is>
          <t>• Cómo usar: rellena solo las celdas amarillas (Responsable, Estado y Fecha término). El resumen se recalcula solo.</t>
        </is>
      </c>
    </row>
    <row r="46" ht="15" customHeight="1" s="18">
      <c r="A46" s="37" t="inlineStr">
        <is>
          <t>• Estados: Por hacer · En proceso · En revisión · Hecho · Trasladado a S2 · Fuera de alcance (mismos nombres que las listas de Trello, más "Fuera de alcance").</t>
        </is>
      </c>
    </row>
    <row r="47" ht="15" customHeight="1" s="18">
      <c r="A47" s="37" t="inlineStr">
        <is>
          <t>• Una historia pasa a "Hecho" solo si cumple sus criterios de aceptación del Product Backlog.</t>
        </is>
      </c>
    </row>
    <row r="48" ht="15" customHeight="1" s="18">
      <c r="A48" s="37" t="inlineStr">
        <is>
          <t>• Fuente de historias y puntos: Product Backlog (Iteración = Sprint 1). Cierre: 60 de 65 pts en Hecho; 24 pts trasladados a S2; PC-TEC-03 (5 pts, ambiente de pruebas en GCP) quedó fuera de alcance por decisión del equipo y no se arrastra a S2.</t>
        </is>
      </c>
    </row>
    <row r="49" ht="15" customHeight="1" s="18">
      <c r="A49" s="37" t="inlineStr">
        <is>
          <t>• Responsables "propuesto" o "por definir" vienen de la planificación en Trello; confirmarlos en equipo.</t>
        </is>
      </c>
    </row>
  </sheetData>
  <mergeCells count="22">
    <mergeCell ref="A48:H48"/>
    <mergeCell ref="A36:B36"/>
    <mergeCell ref="A49:H49"/>
    <mergeCell ref="A45:H45"/>
    <mergeCell ref="A1:H1"/>
    <mergeCell ref="B29:D29"/>
    <mergeCell ref="B28:D28"/>
    <mergeCell ref="A41:B41"/>
    <mergeCell ref="A37:B37"/>
    <mergeCell ref="B30:D30"/>
    <mergeCell ref="A46:H46"/>
    <mergeCell ref="A2:H2"/>
    <mergeCell ref="B32:D32"/>
    <mergeCell ref="A42:B42"/>
    <mergeCell ref="B26:D26"/>
    <mergeCell ref="A47:H47"/>
    <mergeCell ref="A35:B35"/>
    <mergeCell ref="A38:B38"/>
    <mergeCell ref="B31:D31"/>
    <mergeCell ref="B27:D27"/>
    <mergeCell ref="A40:B40"/>
    <mergeCell ref="A39:B39"/>
  </mergeCells>
  <conditionalFormatting sqref="G6:G22">
    <cfRule type="cellIs" rank="0" priority="2" equalAverage="0" operator="equal" aboveAverage="0" dxfId="0" text="" percent="0" bottom="0">
      <formula>"Por hacer"</formula>
    </cfRule>
    <cfRule type="cellIs" rank="0" priority="3" equalAverage="0" operator="equal" aboveAverage="0" dxfId="1" text="" percent="0" bottom="0">
      <formula>"En proceso"</formula>
    </cfRule>
    <cfRule type="cellIs" rank="0" priority="4" equalAverage="0" operator="equal" aboveAverage="0" dxfId="2" text="" percent="0" bottom="0">
      <formula>"En revisión"</formula>
    </cfRule>
    <cfRule type="cellIs" rank="0" priority="5" equalAverage="0" operator="equal" aboveAverage="0" dxfId="3" text="" percent="0" bottom="0">
      <formula>"Hecho"</formula>
    </cfRule>
    <cfRule type="cellIs" rank="0" priority="6" equalAverage="0" operator="equal" aboveAverage="0" dxfId="4" text="" percent="0" bottom="0">
      <formula>"Trasladado a S2"</formula>
    </cfRule>
    <cfRule type="cellIs" priority="11" operator="equal" dxfId="5">
      <formula>"Fuera de alcance"</formula>
    </cfRule>
  </conditionalFormatting>
  <conditionalFormatting sqref="G27:G32">
    <cfRule type="cellIs" rank="0" priority="7" equalAverage="0" operator="equal" aboveAverage="0" dxfId="0" text="" percent="0" bottom="0">
      <formula>"Por hacer"</formula>
    </cfRule>
    <cfRule type="cellIs" rank="0" priority="8" equalAverage="0" operator="equal" aboveAverage="0" dxfId="1" text="" percent="0" bottom="0">
      <formula>"En proceso"</formula>
    </cfRule>
    <cfRule type="cellIs" rank="0" priority="9" equalAverage="0" operator="equal" aboveAverage="0" dxfId="2" text="" percent="0" bottom="0">
      <formula>"En revisión"</formula>
    </cfRule>
    <cfRule type="cellIs" rank="0" priority="10" equalAverage="0" operator="equal" aboveAverage="0" dxfId="3" text="" percent="0" bottom="0">
      <formula>"Hecho"</formula>
    </cfRule>
    <cfRule type="cellIs" rank="0" priority="11" equalAverage="0" operator="equal" aboveAverage="0" dxfId="4" text="" percent="0" bottom="0">
      <formula>"Trasladado a S2"</formula>
    </cfRule>
    <cfRule type="cellIs" priority="12" operator="equal" dxfId="5">
      <formula>"Fuera de alcance"</formula>
    </cfRule>
  </conditionalFormatting>
  <dataValidations count="1">
    <dataValidation sqref="G6:G22 G27:G32" showDropDown="0" showInputMessage="0" showErrorMessage="0" allowBlank="1" type="list" errorStyle="stop" operator="between">
      <formula1>"Por hacer,En proceso,En revisión,Hecho,Trasladado a S2,Fuera de alcance"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2026-09-24T15:11:59Z</dcterms:created>
  <dcterms:modified xmlns:dcterms="http://purl.org/dc/terms/" xmlns:xsi="http://www.w3.org/2001/XMLSchema-instance" xsi:type="dcterms:W3CDTF">2026-10-05T16:52:29Z</dcterms:modified>
  <cp:revision>0</cp:revision>
</cp:coreProperties>
</file>