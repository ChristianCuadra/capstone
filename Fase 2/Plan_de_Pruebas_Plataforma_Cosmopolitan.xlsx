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sos de Prueba" sheetId="1" state="visible" r:id="rId1"/>
    <sheet name="Resumen y Cobertura" sheetId="2" state="visible" r:id="rId2"/>
  </sheets>
  <definedNames>
    <definedName name="_xlnm._FilterDatabase" localSheetId="0" hidden="1">'Casos de Prueba'!$A$1:$M$78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b val="1"/>
      <color rgb="FF1F3864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i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9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general" vertical="bottom"/>
    </xf>
    <xf numFmtId="0" fontId="6" fillId="0" borderId="2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9" fontId="5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78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22" customWidth="1" style="17" min="2" max="2"/>
    <col width="10" customWidth="1" style="17" min="3" max="3"/>
    <col width="30" customWidth="1" style="17" min="4" max="4"/>
    <col width="26" customWidth="1" style="17" min="5" max="5"/>
    <col width="40" customWidth="1" style="17" min="6" max="7"/>
    <col width="13" customWidth="1" style="17" min="8" max="8"/>
    <col width="10" customWidth="1" style="17" min="9" max="9"/>
    <col width="16" customWidth="1" style="17" min="10" max="10"/>
    <col width="13" customWidth="1" style="17" min="11" max="11"/>
    <col width="16" customWidth="1" style="17" min="12" max="13"/>
  </cols>
  <sheetData>
    <row r="1" ht="30" customHeight="1" s="18">
      <c r="A1" s="19" t="inlineStr">
        <is>
          <t>ID</t>
        </is>
      </c>
      <c r="B1" s="19" t="inlineStr">
        <is>
          <t>Módulo</t>
        </is>
      </c>
      <c r="C1" s="19" t="inlineStr">
        <is>
          <t>Sprint</t>
        </is>
      </c>
      <c r="D1" s="19" t="inlineStr">
        <is>
          <t>Caso de prueba</t>
        </is>
      </c>
      <c r="E1" s="19" t="inlineStr">
        <is>
          <t>Precondición</t>
        </is>
      </c>
      <c r="F1" s="19" t="inlineStr">
        <is>
          <t>Pasos</t>
        </is>
      </c>
      <c r="G1" s="19" t="inlineStr">
        <is>
          <t>Resultado esperado</t>
        </is>
      </c>
      <c r="H1" s="19" t="inlineStr">
        <is>
          <t>Tipo</t>
        </is>
      </c>
      <c r="I1" s="19" t="inlineStr">
        <is>
          <t>Prioridad</t>
        </is>
      </c>
      <c r="J1" s="19" t="inlineStr">
        <is>
          <t>Estado de ejecución</t>
        </is>
      </c>
      <c r="K1" s="19" t="inlineStr">
        <is>
          <t>Fecha ejecución</t>
        </is>
      </c>
      <c r="L1" s="19" t="inlineStr">
        <is>
          <t>Ejecutado por</t>
        </is>
      </c>
      <c r="M1" s="19" t="inlineStr">
        <is>
          <t>Defecto asociado</t>
        </is>
      </c>
    </row>
    <row r="2" ht="55.5" customHeight="1" s="18">
      <c r="A2" s="20" t="inlineStr">
        <is>
          <t>CP-001</t>
        </is>
      </c>
      <c r="B2" s="21" t="inlineStr">
        <is>
          <t>A. Sitio corporativo</t>
        </is>
      </c>
      <c r="C2" s="22" t="inlineStr">
        <is>
          <t>Sprint 1</t>
        </is>
      </c>
      <c r="D2" s="21" t="inlineStr">
        <is>
          <t>Carga y navegación del sitio público</t>
        </is>
      </c>
      <c r="E2" s="21" t="inlineStr">
        <is>
          <t>Sitio desplegado en el ambiente de pruebas</t>
        </is>
      </c>
      <c r="F2" s="21" t="inlineStr">
        <is>
          <t>1. Acceder a la URL del sitio. 2. Navegar por todas las secciones del menú.</t>
        </is>
      </c>
      <c r="G2" s="21" t="inlineStr">
        <is>
          <t>Todas las secciones cargan sin error. No se presentan enlaces rotos ni recursos faltantes.</t>
        </is>
      </c>
      <c r="H2" s="22" t="inlineStr">
        <is>
          <t>Funcional</t>
        </is>
      </c>
      <c r="I2" s="22" t="inlineStr">
        <is>
          <t>Alta</t>
        </is>
      </c>
      <c r="J2" s="22" t="inlineStr">
        <is>
          <t>Pendiente</t>
        </is>
      </c>
      <c r="K2" s="22" t="n"/>
      <c r="L2" s="22" t="n"/>
      <c r="M2" s="22" t="n"/>
    </row>
    <row r="3" ht="84" customHeight="1" s="18">
      <c r="A3" s="20" t="inlineStr">
        <is>
          <t>CP-002</t>
        </is>
      </c>
      <c r="B3" s="21" t="inlineStr">
        <is>
          <t>A. Sitio corporativo</t>
        </is>
      </c>
      <c r="C3" s="22" t="inlineStr">
        <is>
          <t>Sprint 1</t>
        </is>
      </c>
      <c r="D3" s="21" t="inlineStr">
        <is>
          <t>Envío del formulario de contacto con datos válidos</t>
        </is>
      </c>
      <c r="E3" s="21" t="inlineStr">
        <is>
          <t>Sitio publicado y servicio de correo configurado</t>
        </is>
      </c>
      <c r="F3" s="21" t="inlineStr">
        <is>
          <t>1. Completar nombre, correo, teléfono, rubro y mensaje. 2. Enviar el formulario.</t>
        </is>
      </c>
      <c r="G3" s="21" t="inlineStr">
        <is>
          <t>Se muestra confirmación al visitante. Se crea un prospecto en el módulo comercial. Se envía el correo de aviso a la agencia.</t>
        </is>
      </c>
      <c r="H3" s="22" t="inlineStr">
        <is>
          <t>Funcional</t>
        </is>
      </c>
      <c r="I3" s="22" t="inlineStr">
        <is>
          <t>Alta</t>
        </is>
      </c>
      <c r="J3" s="22" t="inlineStr">
        <is>
          <t>Pendiente</t>
        </is>
      </c>
      <c r="K3" s="22" t="n"/>
      <c r="L3" s="22" t="n"/>
      <c r="M3" s="22" t="n"/>
    </row>
    <row r="4" ht="55.5" customHeight="1" s="18">
      <c r="A4" s="20" t="inlineStr">
        <is>
          <t>CP-003</t>
        </is>
      </c>
      <c r="B4" s="21" t="inlineStr">
        <is>
          <t>A. Sitio corporativo</t>
        </is>
      </c>
      <c r="C4" s="22" t="inlineStr">
        <is>
          <t>Sprint 1</t>
        </is>
      </c>
      <c r="D4" s="21" t="inlineStr">
        <is>
          <t>Validación de campos obligatorios</t>
        </is>
      </c>
      <c r="E4" s="21" t="inlineStr">
        <is>
          <t>Formulario de contacto disponible</t>
        </is>
      </c>
      <c r="F4" s="21" t="inlineStr">
        <is>
          <t>1. Enviar el formulario con los campos vacíos.</t>
        </is>
      </c>
      <c r="G4" s="21" t="inlineStr">
        <is>
          <t>El sistema impide el envío. Se indica con claridad cada campo obligatorio faltante.</t>
        </is>
      </c>
      <c r="H4" s="22" t="inlineStr">
        <is>
          <t>Funcional</t>
        </is>
      </c>
      <c r="I4" s="22" t="inlineStr">
        <is>
          <t>Alta</t>
        </is>
      </c>
      <c r="J4" s="22" t="inlineStr">
        <is>
          <t>Pendiente</t>
        </is>
      </c>
      <c r="K4" s="22" t="n"/>
      <c r="L4" s="22" t="n"/>
      <c r="M4" s="22" t="n"/>
    </row>
    <row r="5" ht="55.5" customHeight="1" s="18">
      <c r="A5" s="20" t="inlineStr">
        <is>
          <t>CP-004</t>
        </is>
      </c>
      <c r="B5" s="21" t="inlineStr">
        <is>
          <t>A. Sitio corporativo</t>
        </is>
      </c>
      <c r="C5" s="22" t="inlineStr">
        <is>
          <t>Sprint 1</t>
        </is>
      </c>
      <c r="D5" s="21" t="inlineStr">
        <is>
          <t>Rechazo de correo con formato inválido</t>
        </is>
      </c>
      <c r="E5" s="21" t="inlineStr">
        <is>
          <t>Formulario de contacto disponible</t>
        </is>
      </c>
      <c r="F5" s="21" t="inlineStr">
        <is>
          <t>1. Ingresar un correo sin arroba o sin dominio. 2. Enviar el formulario.</t>
        </is>
      </c>
      <c r="G5" s="21" t="inlineStr">
        <is>
          <t>Se rechaza el envío y se informa el formato esperado. No se crea ningún prospecto.</t>
        </is>
      </c>
      <c r="H5" s="22" t="inlineStr">
        <is>
          <t>Funcional</t>
        </is>
      </c>
      <c r="I5" s="22" t="inlineStr">
        <is>
          <t>Media</t>
        </is>
      </c>
      <c r="J5" s="22" t="inlineStr">
        <is>
          <t>Pendiente</t>
        </is>
      </c>
      <c r="K5" s="22" t="n"/>
      <c r="L5" s="22" t="n"/>
      <c r="M5" s="22" t="n"/>
    </row>
    <row r="6" ht="69.75" customHeight="1" s="18">
      <c r="A6" s="20" t="inlineStr">
        <is>
          <t>CP-005</t>
        </is>
      </c>
      <c r="B6" s="21" t="inlineStr">
        <is>
          <t>A. Sitio corporativo</t>
        </is>
      </c>
      <c r="C6" s="22" t="inlineStr">
        <is>
          <t>Sprint 1</t>
        </is>
      </c>
      <c r="D6" s="21" t="inlineStr">
        <is>
          <t>Publicación de contenido desde el CMS</t>
        </is>
      </c>
      <c r="E6" s="21" t="inlineStr">
        <is>
          <t>Usuario administrador autenticado</t>
        </is>
      </c>
      <c r="F6" s="21" t="inlineStr">
        <is>
          <t>1. Crear una entrada con título, cuerpo e imagen. 2. Guardar como borrador y luego publicar.</t>
        </is>
      </c>
      <c r="G6" s="21" t="inlineStr">
        <is>
          <t>La entrada se muestra en el sitio público tras publicarse. Como borrador no es visible para visitantes.</t>
        </is>
      </c>
      <c r="H6" s="22" t="inlineStr">
        <is>
          <t>Funcional</t>
        </is>
      </c>
      <c r="I6" s="22" t="inlineStr">
        <is>
          <t>Alta</t>
        </is>
      </c>
      <c r="J6" s="22" t="inlineStr">
        <is>
          <t>Pendiente</t>
        </is>
      </c>
      <c r="K6" s="22" t="n"/>
      <c r="L6" s="22" t="n"/>
      <c r="M6" s="22" t="n"/>
    </row>
    <row r="7" ht="69.75" customHeight="1" s="18">
      <c r="A7" s="20" t="inlineStr">
        <is>
          <t>CP-006</t>
        </is>
      </c>
      <c r="B7" s="21" t="inlineStr">
        <is>
          <t>A. Sitio corporativo</t>
        </is>
      </c>
      <c r="C7" s="22" t="inlineStr">
        <is>
          <t>Sprint 1</t>
        </is>
      </c>
      <c r="D7" s="21" t="inlineStr">
        <is>
          <t>Edición y despublicación de contenido</t>
        </is>
      </c>
      <c r="E7" s="21" t="inlineStr">
        <is>
          <t>Existe una entrada publicada</t>
        </is>
      </c>
      <c r="F7" s="21" t="inlineStr">
        <is>
          <t>1. Editar el título y el cuerpo. 2. Guardar y luego despublicar.</t>
        </is>
      </c>
      <c r="G7" s="21" t="inlineStr">
        <is>
          <t>Los cambios se reflejan en el sitio. Al despublicar, la entrada deja de ser accesible públicamente.</t>
        </is>
      </c>
      <c r="H7" s="22" t="inlineStr">
        <is>
          <t>Funcional</t>
        </is>
      </c>
      <c r="I7" s="22" t="inlineStr">
        <is>
          <t>Media</t>
        </is>
      </c>
      <c r="J7" s="22" t="inlineStr">
        <is>
          <t>Pendiente</t>
        </is>
      </c>
      <c r="K7" s="22" t="n"/>
      <c r="L7" s="22" t="n"/>
      <c r="M7" s="22" t="n"/>
    </row>
    <row r="8" ht="55.5" customHeight="1" s="18">
      <c r="A8" s="20" t="inlineStr">
        <is>
          <t>CP-007</t>
        </is>
      </c>
      <c r="B8" s="21" t="inlineStr">
        <is>
          <t>A. Sitio corporativo</t>
        </is>
      </c>
      <c r="C8" s="22" t="inlineStr">
        <is>
          <t>Sprint 1</t>
        </is>
      </c>
      <c r="D8" s="21" t="inlineStr">
        <is>
          <t>Acceso al CMS sin autenticación</t>
        </is>
      </c>
      <c r="E8" s="21" t="inlineStr">
        <is>
          <t>Sesión cerrada</t>
        </is>
      </c>
      <c r="F8" s="21" t="inlineStr">
        <is>
          <t>1. Acceder directamente a la URL del CMS.</t>
        </is>
      </c>
      <c r="G8" s="21" t="inlineStr">
        <is>
          <t>Se redirige al inicio de sesión. No se expone contenido ni estructura del panel.</t>
        </is>
      </c>
      <c r="H8" s="22" t="inlineStr">
        <is>
          <t>Seguridad</t>
        </is>
      </c>
      <c r="I8" s="22" t="inlineStr">
        <is>
          <t>Alta</t>
        </is>
      </c>
      <c r="J8" s="22" t="inlineStr">
        <is>
          <t>Pendiente</t>
        </is>
      </c>
      <c r="K8" s="22" t="n"/>
      <c r="L8" s="22" t="n"/>
      <c r="M8" s="22" t="n"/>
    </row>
    <row r="9" ht="69.75" customHeight="1" s="18">
      <c r="A9" s="20" t="inlineStr">
        <is>
          <t>CP-008</t>
        </is>
      </c>
      <c r="B9" s="21" t="inlineStr">
        <is>
          <t>A. Sitio corporativo</t>
        </is>
      </c>
      <c r="C9" s="22" t="inlineStr">
        <is>
          <t>Sprint 1</t>
        </is>
      </c>
      <c r="D9" s="21" t="inlineStr">
        <is>
          <t>Sanitización de contenido con etiquetas de script</t>
        </is>
      </c>
      <c r="E9" s="21" t="inlineStr">
        <is>
          <t>Usuario administrador autenticado</t>
        </is>
      </c>
      <c r="F9" s="21" t="inlineStr">
        <is>
          <t>1. Ingresar etiquetas HTML y un script en un campo de texto. 2. Guardar y visualizar en el sitio público.</t>
        </is>
      </c>
      <c r="G9" s="21" t="inlineStr">
        <is>
          <t>El contenido se almacena sanitizado. No se ejecuta ningún script en el navegador del visitante.</t>
        </is>
      </c>
      <c r="H9" s="22" t="inlineStr">
        <is>
          <t>Seguridad</t>
        </is>
      </c>
      <c r="I9" s="22" t="inlineStr">
        <is>
          <t>Alta</t>
        </is>
      </c>
      <c r="J9" s="22" t="inlineStr">
        <is>
          <t>Pendiente</t>
        </is>
      </c>
      <c r="K9" s="22" t="n"/>
      <c r="L9" s="22" t="n"/>
      <c r="M9" s="22" t="n"/>
    </row>
    <row r="10" ht="55.5" customHeight="1" s="18">
      <c r="A10" s="20" t="inlineStr">
        <is>
          <t>CP-009</t>
        </is>
      </c>
      <c r="B10" s="21" t="inlineStr">
        <is>
          <t>A. Sitio corporativo</t>
        </is>
      </c>
      <c r="C10" s="22" t="inlineStr">
        <is>
          <t>Sprint 1</t>
        </is>
      </c>
      <c r="D10" s="21" t="inlineStr">
        <is>
          <t>Metadatos de posicionamiento por página</t>
        </is>
      </c>
      <c r="E10" s="21" t="inlineStr">
        <is>
          <t>Páginas creadas en el CMS</t>
        </is>
      </c>
      <c r="F10" s="21" t="inlineStr">
        <is>
          <t>1. Definir título y descripción para una página. 2. Inspeccionar el código fuente publicado.</t>
        </is>
      </c>
      <c r="G10" s="21" t="inlineStr">
        <is>
          <t>Los metadatos definidos aparecen correctamente en el documento publicado.</t>
        </is>
      </c>
      <c r="H10" s="22" t="inlineStr">
        <is>
          <t>Funcional</t>
        </is>
      </c>
      <c r="I10" s="22" t="inlineStr">
        <is>
          <t>Media</t>
        </is>
      </c>
      <c r="J10" s="22" t="inlineStr">
        <is>
          <t>Conforme</t>
        </is>
      </c>
      <c r="K10" s="31" t="n">
        <v>46314</v>
      </c>
      <c r="L10" s="22" t="inlineStr">
        <is>
          <t>Felipe Gutiérrez</t>
        </is>
      </c>
      <c r="M10" s="22" t="n"/>
    </row>
    <row r="11" ht="69.75" customHeight="1" s="18">
      <c r="A11" s="20" t="inlineStr">
        <is>
          <t>CP-010</t>
        </is>
      </c>
      <c r="B11" s="21" t="inlineStr">
        <is>
          <t>A. Sitio corporativo</t>
        </is>
      </c>
      <c r="C11" s="22" t="inlineStr">
        <is>
          <t>Sprint 1</t>
        </is>
      </c>
      <c r="D11" s="21" t="inlineStr">
        <is>
          <t>Visualización responsiva en dispositivo móvil</t>
        </is>
      </c>
      <c r="E11" s="21" t="inlineStr">
        <is>
          <t>Sitio publicado</t>
        </is>
      </c>
      <c r="F11" s="21" t="inlineStr">
        <is>
          <t>1. Abrir el sitio en pantallas de 360, 768 y 1440 píxeles de ancho.</t>
        </is>
      </c>
      <c r="G11" s="21" t="inlineStr">
        <is>
          <t>El contenido se adapta sin desbordes ni superposiciones. Los elementos interactivos son accionables con el dedo.</t>
        </is>
      </c>
      <c r="H11" s="22" t="inlineStr">
        <is>
          <t>Compatibilidad</t>
        </is>
      </c>
      <c r="I11" s="22" t="inlineStr">
        <is>
          <t>Alta</t>
        </is>
      </c>
      <c r="J11" s="22" t="inlineStr">
        <is>
          <t>Pendiente</t>
        </is>
      </c>
      <c r="K11" s="22" t="n"/>
      <c r="L11" s="22" t="n"/>
      <c r="M11" s="22" t="n"/>
    </row>
    <row r="12" ht="55.5" customHeight="1" s="18">
      <c r="A12" s="20" t="inlineStr">
        <is>
          <t>CP-011</t>
        </is>
      </c>
      <c r="B12" s="21" t="inlineStr">
        <is>
          <t>B. Autenticación y acceso</t>
        </is>
      </c>
      <c r="C12" s="22" t="inlineStr">
        <is>
          <t>Sprint 1</t>
        </is>
      </c>
      <c r="D12" s="21" t="inlineStr">
        <is>
          <t>Inicio de sesión con credenciales válidas</t>
        </is>
      </c>
      <c r="E12" s="21" t="inlineStr">
        <is>
          <t>Usuario administrador registrado</t>
        </is>
      </c>
      <c r="F12" s="21" t="inlineStr">
        <is>
          <t>1. Ingresar correo y contraseña correctos. 2. Confirmar.</t>
        </is>
      </c>
      <c r="G12" s="21" t="inlineStr">
        <is>
          <t>Se accede al panel correspondiente al rol. Se registra el acceso en la bitácora.</t>
        </is>
      </c>
      <c r="H12" s="22" t="inlineStr">
        <is>
          <t>Funcional</t>
        </is>
      </c>
      <c r="I12" s="22" t="inlineStr">
        <is>
          <t>Alta</t>
        </is>
      </c>
      <c r="J12" s="22" t="inlineStr">
        <is>
          <t>Pendiente</t>
        </is>
      </c>
      <c r="K12" s="22" t="n"/>
      <c r="L12" s="22" t="n"/>
      <c r="M12" s="22" t="n"/>
    </row>
    <row r="13" ht="55.5" customHeight="1" s="18">
      <c r="A13" s="20" t="inlineStr">
        <is>
          <t>CP-012</t>
        </is>
      </c>
      <c r="B13" s="21" t="inlineStr">
        <is>
          <t>B. Autenticación y acceso</t>
        </is>
      </c>
      <c r="C13" s="22" t="inlineStr">
        <is>
          <t>Sprint 1</t>
        </is>
      </c>
      <c r="D13" s="21" t="inlineStr">
        <is>
          <t>Inicio de sesión con credenciales inválidas</t>
        </is>
      </c>
      <c r="E13" s="21" t="inlineStr">
        <is>
          <t>Usuario registrado</t>
        </is>
      </c>
      <c r="F13" s="21" t="inlineStr">
        <is>
          <t>1. Ingresar una contraseña incorrecta. 2. Confirmar.</t>
        </is>
      </c>
      <c r="G13" s="21" t="inlineStr">
        <is>
          <t>Se deniega el acceso. El mensaje no revela si el error está en el correo o en la contraseña.</t>
        </is>
      </c>
      <c r="H13" s="22" t="inlineStr">
        <is>
          <t>Seguridad</t>
        </is>
      </c>
      <c r="I13" s="22" t="inlineStr">
        <is>
          <t>Alta</t>
        </is>
      </c>
      <c r="J13" s="22" t="inlineStr">
        <is>
          <t>Pendiente</t>
        </is>
      </c>
      <c r="K13" s="22" t="n"/>
      <c r="L13" s="22" t="n"/>
      <c r="M13" s="22" t="n"/>
    </row>
    <row r="14" ht="55.5" customHeight="1" s="18">
      <c r="A14" s="20" t="inlineStr">
        <is>
          <t>CP-013</t>
        </is>
      </c>
      <c r="B14" s="21" t="inlineStr">
        <is>
          <t>B. Autenticación y acceso</t>
        </is>
      </c>
      <c r="C14" s="22" t="inlineStr">
        <is>
          <t>Sprint 1</t>
        </is>
      </c>
      <c r="D14" s="21" t="inlineStr">
        <is>
          <t>Bloqueo tras intentos fallidos sucesivos</t>
        </is>
      </c>
      <c r="E14" s="21" t="inlineStr">
        <is>
          <t>Usuario registrado</t>
        </is>
      </c>
      <c r="F14" s="21" t="inlineStr">
        <is>
          <t>1. Intentar ingresar con contraseña incorrecta cinco veces consecutivas.</t>
        </is>
      </c>
      <c r="G14" s="21" t="inlineStr">
        <is>
          <t>La cuenta se bloquea temporalmente. Se informa al usuario el tiempo de espera.</t>
        </is>
      </c>
      <c r="H14" s="22" t="inlineStr">
        <is>
          <t>Seguridad</t>
        </is>
      </c>
      <c r="I14" s="22" t="inlineStr">
        <is>
          <t>Alta</t>
        </is>
      </c>
      <c r="J14" s="22" t="inlineStr">
        <is>
          <t>Pendiente</t>
        </is>
      </c>
      <c r="K14" s="22" t="n"/>
      <c r="L14" s="22" t="n"/>
      <c r="M14" s="22" t="n"/>
    </row>
    <row r="15" ht="69.75" customHeight="1" s="18">
      <c r="A15" s="20" t="inlineStr">
        <is>
          <t>CP-014</t>
        </is>
      </c>
      <c r="B15" s="21" t="inlineStr">
        <is>
          <t>B. Autenticación y acceso</t>
        </is>
      </c>
      <c r="C15" s="22" t="inlineStr">
        <is>
          <t>Sprint 1</t>
        </is>
      </c>
      <c r="D15" s="21" t="inlineStr">
        <is>
          <t>Recuperación de contraseña</t>
        </is>
      </c>
      <c r="E15" s="21" t="inlineStr">
        <is>
          <t>Usuario registrado con correo válido</t>
        </is>
      </c>
      <c r="F15" s="21" t="inlineStr">
        <is>
          <t>1. Solicitar recuperación. 2. Abrir el enlace recibido. 3. Definir una contraseña nueva.</t>
        </is>
      </c>
      <c r="G15" s="21" t="inlineStr">
        <is>
          <t>Se recibe el correo con un enlace de un solo uso. El enlace expira tras usarse o vencer su plazo.</t>
        </is>
      </c>
      <c r="H15" s="22" t="inlineStr">
        <is>
          <t>Funcional</t>
        </is>
      </c>
      <c r="I15" s="22" t="inlineStr">
        <is>
          <t>Alta</t>
        </is>
      </c>
      <c r="J15" s="22" t="inlineStr">
        <is>
          <t>Pendiente</t>
        </is>
      </c>
      <c r="K15" s="22" t="n"/>
      <c r="L15" s="22" t="n"/>
      <c r="M15" s="22" t="n"/>
    </row>
    <row r="16" ht="55.5" customHeight="1" s="18">
      <c r="A16" s="20" t="inlineStr">
        <is>
          <t>CP-015</t>
        </is>
      </c>
      <c r="B16" s="21" t="inlineStr">
        <is>
          <t>B. Autenticación y acceso</t>
        </is>
      </c>
      <c r="C16" s="22" t="inlineStr">
        <is>
          <t>Sprint 1</t>
        </is>
      </c>
      <c r="D16" s="21" t="inlineStr">
        <is>
          <t>Rechazo de contraseñas débiles</t>
        </is>
      </c>
      <c r="E16" s="21" t="inlineStr">
        <is>
          <t>Formulario de registro o cambio disponible</t>
        </is>
      </c>
      <c r="F16" s="21" t="inlineStr">
        <is>
          <t>1. Intentar definir una contraseña de menos de ocho caracteres y sin complejidad.</t>
        </is>
      </c>
      <c r="G16" s="21" t="inlineStr">
        <is>
          <t>Se rechaza y se indica la política de contraseñas vigente.</t>
        </is>
      </c>
      <c r="H16" s="22" t="inlineStr">
        <is>
          <t>Seguridad</t>
        </is>
      </c>
      <c r="I16" s="22" t="inlineStr">
        <is>
          <t>Media</t>
        </is>
      </c>
      <c r="J16" s="22" t="inlineStr">
        <is>
          <t>Pendiente</t>
        </is>
      </c>
      <c r="K16" s="22" t="n"/>
      <c r="L16" s="22" t="n"/>
      <c r="M16" s="22" t="n"/>
    </row>
    <row r="17" ht="55.5" customHeight="1" s="18">
      <c r="A17" s="20" t="inlineStr">
        <is>
          <t>CP-016</t>
        </is>
      </c>
      <c r="B17" s="21" t="inlineStr">
        <is>
          <t>B. Autenticación y acceso</t>
        </is>
      </c>
      <c r="C17" s="22" t="inlineStr">
        <is>
          <t>Sprint 1</t>
        </is>
      </c>
      <c r="D17" s="21" t="inlineStr">
        <is>
          <t>Segundo factor en cuenta de administración</t>
        </is>
      </c>
      <c r="E17" s="21" t="inlineStr">
        <is>
          <t>Cuenta de administración con segundo factor habilitado</t>
        </is>
      </c>
      <c r="F17" s="21" t="inlineStr">
        <is>
          <t>1. Iniciar sesión con credenciales correctas. 2. Omitir el segundo factor.</t>
        </is>
      </c>
      <c r="G17" s="21" t="inlineStr">
        <is>
          <t>No se concede acceso hasta validar el segundo factor.</t>
        </is>
      </c>
      <c r="H17" s="22" t="inlineStr">
        <is>
          <t>Seguridad</t>
        </is>
      </c>
      <c r="I17" s="22" t="inlineStr">
        <is>
          <t>Alta</t>
        </is>
      </c>
      <c r="J17" s="22" t="inlineStr">
        <is>
          <t>Pendiente</t>
        </is>
      </c>
      <c r="K17" s="22" t="n"/>
      <c r="L17" s="22" t="n"/>
      <c r="M17" s="22" t="n"/>
    </row>
    <row r="18" ht="42" customHeight="1" s="18">
      <c r="A18" s="20" t="inlineStr">
        <is>
          <t>CP-017</t>
        </is>
      </c>
      <c r="B18" s="21" t="inlineStr">
        <is>
          <t>B. Autenticación y acceso</t>
        </is>
      </c>
      <c r="C18" s="22" t="inlineStr">
        <is>
          <t>Sprint 1</t>
        </is>
      </c>
      <c r="D18" s="21" t="inlineStr">
        <is>
          <t>Cierre de sesión e invalidación del token</t>
        </is>
      </c>
      <c r="E18" s="21" t="inlineStr">
        <is>
          <t>Sesión activa</t>
        </is>
      </c>
      <c r="F18" s="21" t="inlineStr">
        <is>
          <t>1. Cerrar sesión. 2. Reutilizar el token anterior contra la API.</t>
        </is>
      </c>
      <c r="G18" s="21" t="inlineStr">
        <is>
          <t>El token queda invalidado. La API responde con acceso denegado.</t>
        </is>
      </c>
      <c r="H18" s="22" t="inlineStr">
        <is>
          <t>Seguridad</t>
        </is>
      </c>
      <c r="I18" s="22" t="inlineStr">
        <is>
          <t>Alta</t>
        </is>
      </c>
      <c r="J18" s="22" t="inlineStr">
        <is>
          <t>Pendiente</t>
        </is>
      </c>
      <c r="K18" s="22" t="n"/>
      <c r="L18" s="22" t="n"/>
      <c r="M18" s="22" t="n"/>
    </row>
    <row r="19" ht="84" customHeight="1" s="18">
      <c r="A19" s="20" t="inlineStr">
        <is>
          <t>CP-018</t>
        </is>
      </c>
      <c r="B19" s="21" t="inlineStr">
        <is>
          <t>B. Autenticación y acceso</t>
        </is>
      </c>
      <c r="C19" s="22" t="inlineStr">
        <is>
          <t>Sprint 1</t>
        </is>
      </c>
      <c r="D19" s="21" t="inlineStr">
        <is>
          <t>Expiración de sesión por inactividad</t>
        </is>
      </c>
      <c r="E19" s="21" t="inlineStr">
        <is>
          <t>Sesión activa</t>
        </is>
      </c>
      <c r="F19" s="21" t="inlineStr">
        <is>
          <t>1. Permanecer inactivo hasta alcanzar el tiempo de expiración.</t>
        </is>
      </c>
      <c r="G19" s="21" t="inlineStr">
        <is>
          <t>Se muestra un aviso previo a la expiración. Al expirar, se solicita autenticarse nuevamente sin perder el borrador en curso.</t>
        </is>
      </c>
      <c r="H19" s="22" t="inlineStr">
        <is>
          <t>Funcional</t>
        </is>
      </c>
      <c r="I19" s="22" t="inlineStr">
        <is>
          <t>Media</t>
        </is>
      </c>
      <c r="J19" s="22" t="inlineStr">
        <is>
          <t>Pendiente</t>
        </is>
      </c>
      <c r="K19" s="22" t="n"/>
      <c r="L19" s="22" t="n"/>
      <c r="M19" s="22" t="n"/>
    </row>
    <row r="20" ht="69.75" customHeight="1" s="18">
      <c r="A20" s="20" t="inlineStr">
        <is>
          <t>CP-019</t>
        </is>
      </c>
      <c r="B20" s="21" t="inlineStr">
        <is>
          <t>B. Autenticación y acceso</t>
        </is>
      </c>
      <c r="C20" s="22" t="inlineStr">
        <is>
          <t>Sprint 1</t>
        </is>
      </c>
      <c r="D20" s="21" t="inlineStr">
        <is>
          <t>Usuario cliente sin acceso al módulo de administración</t>
        </is>
      </c>
      <c r="E20" s="21" t="inlineStr">
        <is>
          <t>Usuario cliente autenticado</t>
        </is>
      </c>
      <c r="F20" s="21" t="inlineStr">
        <is>
          <t>1. Acceder a la URL del panel de administración.</t>
        </is>
      </c>
      <c r="G20" s="21" t="inlineStr">
        <is>
          <t>Se deniega el acceso con el mensaje correspondiente. El intento queda registrado en la bitácora.</t>
        </is>
      </c>
      <c r="H20" s="22" t="inlineStr">
        <is>
          <t>Seguridad</t>
        </is>
      </c>
      <c r="I20" s="22" t="inlineStr">
        <is>
          <t>Alta</t>
        </is>
      </c>
      <c r="J20" s="22" t="inlineStr">
        <is>
          <t>Conforme</t>
        </is>
      </c>
      <c r="K20" s="31" t="n">
        <v>46314</v>
      </c>
      <c r="L20" s="22" t="inlineStr">
        <is>
          <t>Felipe Gutiérrez</t>
        </is>
      </c>
      <c r="M20" s="22" t="n"/>
    </row>
    <row r="21" ht="55.5" customHeight="1" s="18">
      <c r="A21" s="20" t="inlineStr">
        <is>
          <t>CP-020</t>
        </is>
      </c>
      <c r="B21" s="21" t="inlineStr">
        <is>
          <t>B. Autenticación y acceso</t>
        </is>
      </c>
      <c r="C21" s="22" t="inlineStr">
        <is>
          <t>Sprint 1</t>
        </is>
      </c>
      <c r="D21" s="21" t="inlineStr">
        <is>
          <t>Acceso por URL a un recurso de otro cliente</t>
        </is>
      </c>
      <c r="E21" s="21" t="inlineStr">
        <is>
          <t>Dos clientes con datos propios cargados</t>
        </is>
      </c>
      <c r="F21" s="21" t="inlineStr">
        <is>
          <t>1. Autenticarse como cliente A. 2. Solicitar por URL un recurso identificado del cliente B.</t>
        </is>
      </c>
      <c r="G21" s="21" t="inlineStr">
        <is>
          <t>Se deniega el acceso. No se revela la existencia ni el contenido del recurso.</t>
        </is>
      </c>
      <c r="H21" s="22" t="inlineStr">
        <is>
          <t>Seguridad</t>
        </is>
      </c>
      <c r="I21" s="22" t="inlineStr">
        <is>
          <t>Alta</t>
        </is>
      </c>
      <c r="J21" s="22" t="inlineStr">
        <is>
          <t>Pendiente</t>
        </is>
      </c>
      <c r="K21" s="22" t="n"/>
      <c r="L21" s="22" t="n"/>
      <c r="M21" s="22" t="n"/>
    </row>
    <row r="22" ht="69.75" customHeight="1" s="18">
      <c r="A22" s="20" t="inlineStr">
        <is>
          <t>CP-021</t>
        </is>
      </c>
      <c r="B22" s="21" t="inlineStr">
        <is>
          <t>B. Autenticación y acceso</t>
        </is>
      </c>
      <c r="C22" s="22" t="inlineStr">
        <is>
          <t>Sprint 1</t>
        </is>
      </c>
      <c r="D22" s="21" t="inlineStr">
        <is>
          <t>Manipulación del identificador de cliente en la API</t>
        </is>
      </c>
      <c r="E22" s="21" t="inlineStr">
        <is>
          <t>Dos clientes con datos propios cargados</t>
        </is>
      </c>
      <c r="F22" s="21" t="inlineStr">
        <is>
          <t>1. Autenticarse como cliente A. 2. Modificar el identificador de cliente en la petición a la API.</t>
        </is>
      </c>
      <c r="G22" s="21" t="inlineStr">
        <is>
          <t>La API ignora el identificador enviado y responde solo con datos del cliente autenticado.</t>
        </is>
      </c>
      <c r="H22" s="22" t="inlineStr">
        <is>
          <t>Seguridad</t>
        </is>
      </c>
      <c r="I22" s="22" t="inlineStr">
        <is>
          <t>Alta</t>
        </is>
      </c>
      <c r="J22" s="22" t="inlineStr">
        <is>
          <t>Pendiente</t>
        </is>
      </c>
      <c r="K22" s="22" t="n"/>
      <c r="L22" s="22" t="n"/>
      <c r="M22" s="22" t="n"/>
    </row>
    <row r="23" ht="55.5" customHeight="1" s="18">
      <c r="A23" s="20" t="inlineStr">
        <is>
          <t>CP-022</t>
        </is>
      </c>
      <c r="B23" s="21" t="inlineStr">
        <is>
          <t>B. Autenticación y acceso</t>
        </is>
      </c>
      <c r="C23" s="22" t="inlineStr">
        <is>
          <t>Sprint 1</t>
        </is>
      </c>
      <c r="D23" s="21" t="inlineStr">
        <is>
          <t>Registro de auditoría de acciones administrativas</t>
        </is>
      </c>
      <c r="E23" s="21" t="inlineStr">
        <is>
          <t>Usuario administrador autenticado</t>
        </is>
      </c>
      <c r="F23" s="21" t="inlineStr">
        <is>
          <t>1. Crear, modificar y eliminar un registro. 2. Consultar la bitácora.</t>
        </is>
      </c>
      <c r="G23" s="21" t="inlineStr">
        <is>
          <t>Cada acción queda registrada con usuario, fecha, hora y tipo de operación.</t>
        </is>
      </c>
      <c r="H23" s="22" t="inlineStr">
        <is>
          <t>Seguridad</t>
        </is>
      </c>
      <c r="I23" s="22" t="inlineStr">
        <is>
          <t>Media</t>
        </is>
      </c>
      <c r="J23" s="22" t="inlineStr">
        <is>
          <t>Pendiente</t>
        </is>
      </c>
      <c r="K23" s="22" t="n"/>
      <c r="L23" s="22" t="n"/>
      <c r="M23" s="22" t="n"/>
    </row>
    <row r="24" ht="42" customHeight="1" s="18">
      <c r="A24" s="20" t="inlineStr">
        <is>
          <t>CP-023</t>
        </is>
      </c>
      <c r="B24" s="21" t="inlineStr">
        <is>
          <t>C. Gestión comercial</t>
        </is>
      </c>
      <c r="C24" s="22" t="inlineStr">
        <is>
          <t>Sprint 2</t>
        </is>
      </c>
      <c r="D24" s="21" t="inlineStr">
        <is>
          <t>Creación de un prospecto con datos válidos</t>
        </is>
      </c>
      <c r="E24" s="21" t="inlineStr">
        <is>
          <t>Usuario de la agencia autenticado</t>
        </is>
      </c>
      <c r="F24" s="21" t="inlineStr">
        <is>
          <t>1. Completar el formulario de nuevo prospecto. 2. Guardar.</t>
        </is>
      </c>
      <c r="G24" s="21" t="inlineStr">
        <is>
          <t>El prospecto se crea en estado inicial y aparece en el listado.</t>
        </is>
      </c>
      <c r="H24" s="22" t="inlineStr">
        <is>
          <t>Funcional</t>
        </is>
      </c>
      <c r="I24" s="22" t="inlineStr">
        <is>
          <t>Alta</t>
        </is>
      </c>
      <c r="J24" s="22" t="inlineStr">
        <is>
          <t>Pendiente</t>
        </is>
      </c>
      <c r="K24" s="22" t="n"/>
      <c r="L24" s="22" t="n"/>
      <c r="M24" s="22" t="n"/>
    </row>
    <row r="25" ht="42" customHeight="1" s="18">
      <c r="A25" s="20" t="inlineStr">
        <is>
          <t>CP-024</t>
        </is>
      </c>
      <c r="B25" s="21" t="inlineStr">
        <is>
          <t>C. Gestión comercial</t>
        </is>
      </c>
      <c r="C25" s="22" t="inlineStr">
        <is>
          <t>Sprint 2</t>
        </is>
      </c>
      <c r="D25" s="21" t="inlineStr">
        <is>
          <t>Validación de RUT inválido</t>
        </is>
      </c>
      <c r="E25" s="21" t="inlineStr">
        <is>
          <t>Formulario de prospecto disponible</t>
        </is>
      </c>
      <c r="F25" s="21" t="inlineStr">
        <is>
          <t>1. Ingresar un RUT con dígito verificador incorrecto. 2. Guardar.</t>
        </is>
      </c>
      <c r="G25" s="21" t="inlineStr">
        <is>
          <t>Se rechaza el guardado y se informa el error de validación.</t>
        </is>
      </c>
      <c r="H25" s="22" t="inlineStr">
        <is>
          <t>Funcional</t>
        </is>
      </c>
      <c r="I25" s="22" t="inlineStr">
        <is>
          <t>Media</t>
        </is>
      </c>
      <c r="J25" s="22" t="inlineStr">
        <is>
          <t>Pendiente</t>
        </is>
      </c>
      <c r="K25" s="22" t="n"/>
      <c r="L25" s="22" t="n"/>
      <c r="M25" s="22" t="n"/>
    </row>
    <row r="26" ht="55.5" customHeight="1" s="18">
      <c r="A26" s="20" t="inlineStr">
        <is>
          <t>CP-025</t>
        </is>
      </c>
      <c r="B26" s="21" t="inlineStr">
        <is>
          <t>C. Gestión comercial</t>
        </is>
      </c>
      <c r="C26" s="22" t="inlineStr">
        <is>
          <t>Sprint 2</t>
        </is>
      </c>
      <c r="D26" s="21" t="inlineStr">
        <is>
          <t>Alerta de prospecto duplicado</t>
        </is>
      </c>
      <c r="E26" s="21" t="inlineStr">
        <is>
          <t>Existe un prospecto con el correo indicado</t>
        </is>
      </c>
      <c r="F26" s="21" t="inlineStr">
        <is>
          <t>1. Crear un prospecto nuevo con el mismo correo. 2. Guardar.</t>
        </is>
      </c>
      <c r="G26" s="21" t="inlineStr">
        <is>
          <t>El sistema advierte del posible duplicado antes de confirmar la creación.</t>
        </is>
      </c>
      <c r="H26" s="22" t="inlineStr">
        <is>
          <t>Funcional</t>
        </is>
      </c>
      <c r="I26" s="22" t="inlineStr">
        <is>
          <t>Media</t>
        </is>
      </c>
      <c r="J26" s="22" t="inlineStr">
        <is>
          <t>Pendiente</t>
        </is>
      </c>
      <c r="K26" s="22" t="n"/>
      <c r="L26" s="22" t="n"/>
      <c r="M26" s="22" t="n"/>
    </row>
    <row r="27" ht="55.5" customHeight="1" s="18">
      <c r="A27" s="20" t="inlineStr">
        <is>
          <t>CP-026</t>
        </is>
      </c>
      <c r="B27" s="21" t="inlineStr">
        <is>
          <t>C. Gestión comercial</t>
        </is>
      </c>
      <c r="C27" s="22" t="inlineStr">
        <is>
          <t>Sprint 2</t>
        </is>
      </c>
      <c r="D27" s="21" t="inlineStr">
        <is>
          <t>Edición de prospecto con registro de cambios</t>
        </is>
      </c>
      <c r="E27" s="21" t="inlineStr">
        <is>
          <t>Prospecto existente</t>
        </is>
      </c>
      <c r="F27" s="21" t="inlineStr">
        <is>
          <t>1. Modificar los datos de contacto. 2. Guardar y revisar el historial.</t>
        </is>
      </c>
      <c r="G27" s="21" t="inlineStr">
        <is>
          <t>Los cambios se guardan. El historial registra qué se modificó, quién y cuándo.</t>
        </is>
      </c>
      <c r="H27" s="22" t="inlineStr">
        <is>
          <t>Funcional</t>
        </is>
      </c>
      <c r="I27" s="22" t="inlineStr">
        <is>
          <t>Media</t>
        </is>
      </c>
      <c r="J27" s="22" t="inlineStr">
        <is>
          <t>Pendiente</t>
        </is>
      </c>
      <c r="K27" s="22" t="n"/>
      <c r="L27" s="22" t="n"/>
      <c r="M27" s="22" t="n"/>
    </row>
    <row r="28" ht="55.5" customHeight="1" s="18">
      <c r="A28" s="20" t="inlineStr">
        <is>
          <t>CP-027</t>
        </is>
      </c>
      <c r="B28" s="21" t="inlineStr">
        <is>
          <t>C. Gestión comercial</t>
        </is>
      </c>
      <c r="C28" s="22" t="inlineStr">
        <is>
          <t>Sprint 2</t>
        </is>
      </c>
      <c r="D28" s="21" t="inlineStr">
        <is>
          <t>Eliminación y recuperación de un prospecto</t>
        </is>
      </c>
      <c r="E28" s="21" t="inlineStr">
        <is>
          <t>Prospecto existente</t>
        </is>
      </c>
      <c r="F28" s="21" t="inlineStr">
        <is>
          <t>1. Eliminar el prospecto. 2. Recuperarlo desde la papelera.</t>
        </is>
      </c>
      <c r="G28" s="21" t="inlineStr">
        <is>
          <t>Se solicita confirmación antes de eliminar. El registro se recupera íntegro con su historial.</t>
        </is>
      </c>
      <c r="H28" s="22" t="inlineStr">
        <is>
          <t>Funcional</t>
        </is>
      </c>
      <c r="I28" s="22" t="inlineStr">
        <is>
          <t>Alta</t>
        </is>
      </c>
      <c r="J28" s="22" t="inlineStr">
        <is>
          <t>Pendiente</t>
        </is>
      </c>
      <c r="K28" s="22" t="n"/>
      <c r="L28" s="22" t="n"/>
      <c r="M28" s="22" t="n"/>
    </row>
    <row r="29" ht="42" customHeight="1" s="18">
      <c r="A29" s="20" t="inlineStr">
        <is>
          <t>CP-028</t>
        </is>
      </c>
      <c r="B29" s="21" t="inlineStr">
        <is>
          <t>C. Gestión comercial</t>
        </is>
      </c>
      <c r="C29" s="22" t="inlineStr">
        <is>
          <t>Sprint 2</t>
        </is>
      </c>
      <c r="D29" s="21" t="inlineStr">
        <is>
          <t>Búsqueda y filtrado de prospectos</t>
        </is>
      </c>
      <c r="E29" s="21" t="inlineStr">
        <is>
          <t>Al menos cincuenta prospectos cargados</t>
        </is>
      </c>
      <c r="F29" s="21" t="inlineStr">
        <is>
          <t>1. Filtrar por estado del embudo. 2. Buscar por nombre o correo.</t>
        </is>
      </c>
      <c r="G29" s="21" t="inlineStr">
        <is>
          <t>Los resultados corresponden exactamente al criterio aplicado.</t>
        </is>
      </c>
      <c r="H29" s="22" t="inlineStr">
        <is>
          <t>Funcional</t>
        </is>
      </c>
      <c r="I29" s="22" t="inlineStr">
        <is>
          <t>Media</t>
        </is>
      </c>
      <c r="J29" s="22" t="inlineStr">
        <is>
          <t>Pendiente</t>
        </is>
      </c>
      <c r="K29" s="22" t="n"/>
      <c r="L29" s="22" t="n"/>
      <c r="M29" s="22" t="n"/>
    </row>
    <row r="30" ht="42" customHeight="1" s="18">
      <c r="A30" s="20" t="inlineStr">
        <is>
          <t>CP-029</t>
        </is>
      </c>
      <c r="B30" s="21" t="inlineStr">
        <is>
          <t>C. Gestión comercial</t>
        </is>
      </c>
      <c r="C30" s="22" t="inlineStr">
        <is>
          <t>Sprint 2</t>
        </is>
      </c>
      <c r="D30" s="21" t="inlineStr">
        <is>
          <t>Registro de interacción en la ficha</t>
        </is>
      </c>
      <c r="E30" s="21" t="inlineStr">
        <is>
          <t>Prospecto existente</t>
        </is>
      </c>
      <c r="F30" s="21" t="inlineStr">
        <is>
          <t>1. Registrar una llamada con fecha y observación. 2. Guardar.</t>
        </is>
      </c>
      <c r="G30" s="21" t="inlineStr">
        <is>
          <t>La interacción se muestra en el historial ordenada cronológicamente.</t>
        </is>
      </c>
      <c r="H30" s="22" t="inlineStr">
        <is>
          <t>Funcional</t>
        </is>
      </c>
      <c r="I30" s="22" t="inlineStr">
        <is>
          <t>Media</t>
        </is>
      </c>
      <c r="J30" s="22" t="inlineStr">
        <is>
          <t>Pendiente</t>
        </is>
      </c>
      <c r="K30" s="22" t="n"/>
      <c r="L30" s="22" t="n"/>
      <c r="M30" s="22" t="n"/>
    </row>
    <row r="31" ht="55.5" customHeight="1" s="18">
      <c r="A31" s="20" t="inlineStr">
        <is>
          <t>CP-030</t>
        </is>
      </c>
      <c r="B31" s="21" t="inlineStr">
        <is>
          <t>C. Gestión comercial</t>
        </is>
      </c>
      <c r="C31" s="22" t="inlineStr">
        <is>
          <t>Sprint 2</t>
        </is>
      </c>
      <c r="D31" s="21" t="inlineStr">
        <is>
          <t>Creación de una cotización</t>
        </is>
      </c>
      <c r="E31" s="21" t="inlineStr">
        <is>
          <t>Prospecto existente y catálogo de servicios cargado</t>
        </is>
      </c>
      <c r="F31" s="21" t="inlineStr">
        <is>
          <t>1. Iniciar una cotización. 2. Seleccionar servicios y cantidades. 3. Guardar como borrador.</t>
        </is>
      </c>
      <c r="G31" s="21" t="inlineStr">
        <is>
          <t>La cotización queda asociada al prospecto en estado borrador.</t>
        </is>
      </c>
      <c r="H31" s="22" t="inlineStr">
        <is>
          <t>Funcional</t>
        </is>
      </c>
      <c r="I31" s="22" t="inlineStr">
        <is>
          <t>Alta</t>
        </is>
      </c>
      <c r="J31" s="22" t="inlineStr">
        <is>
          <t>Pendiente</t>
        </is>
      </c>
      <c r="K31" s="22" t="n"/>
      <c r="L31" s="22" t="n"/>
      <c r="M31" s="22" t="n"/>
    </row>
    <row r="32" ht="69.75" customHeight="1" s="18">
      <c r="A32" s="20" t="inlineStr">
        <is>
          <t>CP-031</t>
        </is>
      </c>
      <c r="B32" s="21" t="inlineStr">
        <is>
          <t>C. Gestión comercial</t>
        </is>
      </c>
      <c r="C32" s="22" t="inlineStr">
        <is>
          <t>Sprint 2</t>
        </is>
      </c>
      <c r="D32" s="21" t="inlineStr">
        <is>
          <t>Cálculo del total de la cotización</t>
        </is>
      </c>
      <c r="E32" s="21" t="inlineStr">
        <is>
          <t>Cotización en edición</t>
        </is>
      </c>
      <c r="F32" s="21" t="inlineStr">
        <is>
          <t>1. Agregar tres servicios con distintas cantidades. 2. Aplicar un descuento porcentual.</t>
        </is>
      </c>
      <c r="G32" s="21" t="inlineStr">
        <is>
          <t>El total corresponde a la suma de los subtotales menos el descuento, con el impuesto aplicado según la configuración.</t>
        </is>
      </c>
      <c r="H32" s="22" t="inlineStr">
        <is>
          <t>Funcional</t>
        </is>
      </c>
      <c r="I32" s="22" t="inlineStr">
        <is>
          <t>Alta</t>
        </is>
      </c>
      <c r="J32" s="22" t="inlineStr">
        <is>
          <t>Pendiente</t>
        </is>
      </c>
      <c r="K32" s="22" t="n"/>
      <c r="L32" s="22" t="n"/>
      <c r="M32" s="22" t="n"/>
    </row>
    <row r="33" ht="55.5" customHeight="1" s="18">
      <c r="A33" s="20" t="inlineStr">
        <is>
          <t>CP-032</t>
        </is>
      </c>
      <c r="B33" s="21" t="inlineStr">
        <is>
          <t>C. Gestión comercial</t>
        </is>
      </c>
      <c r="C33" s="22" t="inlineStr">
        <is>
          <t>Sprint 2</t>
        </is>
      </c>
      <c r="D33" s="21" t="inlineStr">
        <is>
          <t>Validación de cantidades inválidas</t>
        </is>
      </c>
      <c r="E33" s="21" t="inlineStr">
        <is>
          <t>Cotización en edición</t>
        </is>
      </c>
      <c r="F33" s="21" t="inlineStr">
        <is>
          <t>1. Ingresar una cantidad igual a cero y otra negativa.</t>
        </is>
      </c>
      <c r="G33" s="21" t="inlineStr">
        <is>
          <t>Se rechaza el valor y se informa el rango permitido. El total no se ve alterado.</t>
        </is>
      </c>
      <c r="H33" s="22" t="inlineStr">
        <is>
          <t>Funcional</t>
        </is>
      </c>
      <c r="I33" s="22" t="inlineStr">
        <is>
          <t>Media</t>
        </is>
      </c>
      <c r="J33" s="22" t="inlineStr">
        <is>
          <t>Pendiente</t>
        </is>
      </c>
      <c r="K33" s="22" t="n"/>
      <c r="L33" s="22" t="n"/>
      <c r="M33" s="22" t="n"/>
    </row>
    <row r="34" ht="55.5" customHeight="1" s="18">
      <c r="A34" s="20" t="inlineStr">
        <is>
          <t>CP-033</t>
        </is>
      </c>
      <c r="B34" s="21" t="inlineStr">
        <is>
          <t>C. Gestión comercial</t>
        </is>
      </c>
      <c r="C34" s="22" t="inlineStr">
        <is>
          <t>Sprint 2</t>
        </is>
      </c>
      <c r="D34" s="21" t="inlineStr">
        <is>
          <t>Envío de la cotización al prospecto</t>
        </is>
      </c>
      <c r="E34" s="21" t="inlineStr">
        <is>
          <t>Cotización en estado borrador</t>
        </is>
      </c>
      <c r="F34" s="21" t="inlineStr">
        <is>
          <t>1. Enviar la cotización al correo del prospecto.</t>
        </is>
      </c>
      <c r="G34" s="21" t="inlineStr">
        <is>
          <t>Se solicita confirmación previa. El correo se envía y la cotización pasa a estado enviada.</t>
        </is>
      </c>
      <c r="H34" s="22" t="inlineStr">
        <is>
          <t>Funcional</t>
        </is>
      </c>
      <c r="I34" s="22" t="inlineStr">
        <is>
          <t>Alta</t>
        </is>
      </c>
      <c r="J34" s="22" t="inlineStr">
        <is>
          <t>Pendiente</t>
        </is>
      </c>
      <c r="K34" s="22" t="n"/>
      <c r="L34" s="22" t="n"/>
      <c r="M34" s="22" t="n"/>
    </row>
    <row r="35" ht="55.5" customHeight="1" s="18">
      <c r="A35" s="20" t="inlineStr">
        <is>
          <t>CP-034</t>
        </is>
      </c>
      <c r="B35" s="21" t="inlineStr">
        <is>
          <t>C. Gestión comercial</t>
        </is>
      </c>
      <c r="C35" s="22" t="inlineStr">
        <is>
          <t>Sprint 2</t>
        </is>
      </c>
      <c r="D35" s="21" t="inlineStr">
        <is>
          <t>Cambio de estado de la cotización</t>
        </is>
      </c>
      <c r="E35" s="21" t="inlineStr">
        <is>
          <t>Cotización enviada</t>
        </is>
      </c>
      <c r="F35" s="21" t="inlineStr">
        <is>
          <t>1. Marcar la cotización como aceptada. 2. Repetir con otra como rechazada.</t>
        </is>
      </c>
      <c r="G35" s="21" t="inlineStr">
        <is>
          <t>El estado se actualiza y queda registrado en el historial con su fecha.</t>
        </is>
      </c>
      <c r="H35" s="22" t="inlineStr">
        <is>
          <t>Funcional</t>
        </is>
      </c>
      <c r="I35" s="22" t="inlineStr">
        <is>
          <t>Alta</t>
        </is>
      </c>
      <c r="J35" s="22" t="inlineStr">
        <is>
          <t>Pendiente</t>
        </is>
      </c>
      <c r="K35" s="22" t="n"/>
      <c r="L35" s="22" t="n"/>
      <c r="M35" s="22" t="n"/>
    </row>
    <row r="36" ht="69.75" customHeight="1" s="18">
      <c r="A36" s="20" t="inlineStr">
        <is>
          <t>CP-035</t>
        </is>
      </c>
      <c r="B36" s="21" t="inlineStr">
        <is>
          <t>C. Gestión comercial</t>
        </is>
      </c>
      <c r="C36" s="22" t="inlineStr">
        <is>
          <t>Sprint 2</t>
        </is>
      </c>
      <c r="D36" s="21" t="inlineStr">
        <is>
          <t>Conversión de prospecto a cliente</t>
        </is>
      </c>
      <c r="E36" s="21" t="inlineStr">
        <is>
          <t>Cotización en estado aceptada</t>
        </is>
      </c>
      <c r="F36" s="21" t="inlineStr">
        <is>
          <t>1. Ejecutar la conversión a cliente desde la ficha.</t>
        </is>
      </c>
      <c r="G36" s="21" t="inlineStr">
        <is>
          <t>Se crea el cliente con sus datos y su acceso al portal. El prospecto queda vinculado al cliente creado.</t>
        </is>
      </c>
      <c r="H36" s="22" t="inlineStr">
        <is>
          <t>Funcional</t>
        </is>
      </c>
      <c r="I36" s="22" t="inlineStr">
        <is>
          <t>Alta</t>
        </is>
      </c>
      <c r="J36" s="22" t="inlineStr">
        <is>
          <t>Pendiente</t>
        </is>
      </c>
      <c r="K36" s="22" t="n"/>
      <c r="L36" s="22" t="n"/>
      <c r="M36" s="22" t="n"/>
    </row>
    <row r="37" ht="69.75" customHeight="1" s="18">
      <c r="A37" s="20" t="inlineStr">
        <is>
          <t>CP-036</t>
        </is>
      </c>
      <c r="B37" s="21" t="inlineStr">
        <is>
          <t>C. Gestión comercial</t>
        </is>
      </c>
      <c r="C37" s="22" t="inlineStr">
        <is>
          <t>Sprint 2</t>
        </is>
      </c>
      <c r="D37" s="21" t="inlineStr">
        <is>
          <t>Generación del documento de la cotización</t>
        </is>
      </c>
      <c r="E37" s="21" t="inlineStr">
        <is>
          <t>Cotización guardada</t>
        </is>
      </c>
      <c r="F37" s="21" t="inlineStr">
        <is>
          <t>1. Generar la vista o el documento descargable de la cotización.</t>
        </is>
      </c>
      <c r="G37" s="21" t="inlineStr">
        <is>
          <t>El documento contiene los servicios, cantidades, totales y la identificación de la agencia y del prospecto.</t>
        </is>
      </c>
      <c r="H37" s="22" t="inlineStr">
        <is>
          <t>Funcional</t>
        </is>
      </c>
      <c r="I37" s="22" t="inlineStr">
        <is>
          <t>Media</t>
        </is>
      </c>
      <c r="J37" s="22" t="inlineStr">
        <is>
          <t>Pendiente</t>
        </is>
      </c>
      <c r="K37" s="22" t="n"/>
      <c r="L37" s="22" t="n"/>
      <c r="M37" s="22" t="n"/>
    </row>
    <row r="38" ht="55.5" customHeight="1" s="18">
      <c r="A38" s="20" t="inlineStr">
        <is>
          <t>CP-037</t>
        </is>
      </c>
      <c r="B38" s="21" t="inlineStr">
        <is>
          <t>C. Gestión comercial</t>
        </is>
      </c>
      <c r="C38" s="22" t="inlineStr">
        <is>
          <t>Sprint 2</t>
        </is>
      </c>
      <c r="D38" s="21" t="inlineStr">
        <is>
          <t>Consistencia del embudo comercial</t>
        </is>
      </c>
      <c r="E38" s="21" t="inlineStr">
        <is>
          <t>Prospectos y cotizaciones en distintos estados</t>
        </is>
      </c>
      <c r="F38" s="21" t="inlineStr">
        <is>
          <t>1. Abrir el panel comercial. 2. Contrastar los totales con el listado filtrado.</t>
        </is>
      </c>
      <c r="G38" s="21" t="inlineStr">
        <is>
          <t>Los totales del embudo coinciden con los registros existentes en cada estado.</t>
        </is>
      </c>
      <c r="H38" s="22" t="inlineStr">
        <is>
          <t>Funcional</t>
        </is>
      </c>
      <c r="I38" s="22" t="inlineStr">
        <is>
          <t>Alta</t>
        </is>
      </c>
      <c r="J38" s="22" t="inlineStr">
        <is>
          <t>Pendiente</t>
        </is>
      </c>
      <c r="K38" s="22" t="n"/>
      <c r="L38" s="22" t="n"/>
      <c r="M38" s="22" t="n"/>
    </row>
    <row r="39" ht="55.5" customHeight="1" s="18">
      <c r="A39" s="20" t="inlineStr">
        <is>
          <t>CP-038</t>
        </is>
      </c>
      <c r="B39" s="21" t="inlineStr">
        <is>
          <t>D. Portal de clientes</t>
        </is>
      </c>
      <c r="C39" s="22" t="inlineStr">
        <is>
          <t>Sprint 3</t>
        </is>
      </c>
      <c r="D39" s="21" t="inlineStr">
        <is>
          <t>Acceso del cliente a su calendario editorial</t>
        </is>
      </c>
      <c r="E39" s="21" t="inlineStr">
        <is>
          <t>Cliente con publicaciones cargadas</t>
        </is>
      </c>
      <c r="F39" s="21" t="inlineStr">
        <is>
          <t>1. Autenticarse como usuario cliente. 2. Abrir el calendario del mes.</t>
        </is>
      </c>
      <c r="G39" s="21" t="inlineStr">
        <is>
          <t>Se muestran únicamente las publicaciones del cliente autenticado, con su estado.</t>
        </is>
      </c>
      <c r="H39" s="22" t="inlineStr">
        <is>
          <t>Funcional</t>
        </is>
      </c>
      <c r="I39" s="22" t="inlineStr">
        <is>
          <t>Alta</t>
        </is>
      </c>
      <c r="J39" s="22" t="inlineStr">
        <is>
          <t>Pendiente</t>
        </is>
      </c>
      <c r="K39" s="22" t="n"/>
      <c r="L39" s="22" t="n"/>
      <c r="M39" s="22" t="n"/>
    </row>
    <row r="40" ht="55.5" customHeight="1" s="18">
      <c r="A40" s="20" t="inlineStr">
        <is>
          <t>CP-039</t>
        </is>
      </c>
      <c r="B40" s="21" t="inlineStr">
        <is>
          <t>D. Portal de clientes</t>
        </is>
      </c>
      <c r="C40" s="22" t="inlineStr">
        <is>
          <t>Sprint 3</t>
        </is>
      </c>
      <c r="D40" s="21" t="inlineStr">
        <is>
          <t>Aislamiento de publicaciones entre clientes</t>
        </is>
      </c>
      <c r="E40" s="21" t="inlineStr">
        <is>
          <t>Dos clientes con publicaciones propias</t>
        </is>
      </c>
      <c r="F40" s="21" t="inlineStr">
        <is>
          <t>1. Autenticarse como cliente A. 2. Revisar el calendario y los listados disponibles.</t>
        </is>
      </c>
      <c r="G40" s="21" t="inlineStr">
        <is>
          <t>No aparece ninguna publicación del cliente B en ninguna vista ni resultado de búsqueda.</t>
        </is>
      </c>
      <c r="H40" s="22" t="inlineStr">
        <is>
          <t>Seguridad</t>
        </is>
      </c>
      <c r="I40" s="22" t="inlineStr">
        <is>
          <t>Alta</t>
        </is>
      </c>
      <c r="J40" s="22" t="inlineStr">
        <is>
          <t>Pendiente</t>
        </is>
      </c>
      <c r="K40" s="22" t="n"/>
      <c r="L40" s="22" t="n"/>
      <c r="M40" s="22" t="n"/>
    </row>
    <row r="41" ht="55.5" customHeight="1" s="18">
      <c r="A41" s="20" t="inlineStr">
        <is>
          <t>CP-040</t>
        </is>
      </c>
      <c r="B41" s="21" t="inlineStr">
        <is>
          <t>D. Portal de clientes</t>
        </is>
      </c>
      <c r="C41" s="22" t="inlineStr">
        <is>
          <t>Sprint 3</t>
        </is>
      </c>
      <c r="D41" s="21" t="inlineStr">
        <is>
          <t>Detalle de una publicación</t>
        </is>
      </c>
      <c r="E41" s="21" t="inlineStr">
        <is>
          <t>Publicación en estado en revisión</t>
        </is>
      </c>
      <c r="F41" s="21" t="inlineStr">
        <is>
          <t>1. Abrir una publicación del calendario.</t>
        </is>
      </c>
      <c r="G41" s="21" t="inlineStr">
        <is>
          <t>Se muestran imagen, texto, fecha programada, red social de destino y estado actual.</t>
        </is>
      </c>
      <c r="H41" s="22" t="inlineStr">
        <is>
          <t>Funcional</t>
        </is>
      </c>
      <c r="I41" s="22" t="inlineStr">
        <is>
          <t>Alta</t>
        </is>
      </c>
      <c r="J41" s="22" t="inlineStr">
        <is>
          <t>Pendiente</t>
        </is>
      </c>
      <c r="K41" s="22" t="n"/>
      <c r="L41" s="22" t="n"/>
      <c r="M41" s="22" t="n"/>
    </row>
    <row r="42" ht="69.75" customHeight="1" s="18">
      <c r="A42" s="20" t="inlineStr">
        <is>
          <t>CP-041</t>
        </is>
      </c>
      <c r="B42" s="21" t="inlineStr">
        <is>
          <t>D. Portal de clientes</t>
        </is>
      </c>
      <c r="C42" s="22" t="inlineStr">
        <is>
          <t>Sprint 3</t>
        </is>
      </c>
      <c r="D42" s="21" t="inlineStr">
        <is>
          <t>Aprobación de contenido</t>
        </is>
      </c>
      <c r="E42" s="21" t="inlineStr">
        <is>
          <t>Publicación en estado en revisión</t>
        </is>
      </c>
      <c r="F42" s="21" t="inlineStr">
        <is>
          <t>1. Abrir la publicación. 2. Aprobar y confirmar en el diálogo.</t>
        </is>
      </c>
      <c r="G42" s="21" t="inlineStr">
        <is>
          <t>Se exige confirmación explícita. El estado cambia a aprobado y se registra el usuario y la fecha.</t>
        </is>
      </c>
      <c r="H42" s="22" t="inlineStr">
        <is>
          <t>Funcional</t>
        </is>
      </c>
      <c r="I42" s="22" t="inlineStr">
        <is>
          <t>Alta</t>
        </is>
      </c>
      <c r="J42" s="22" t="inlineStr">
        <is>
          <t>Pendiente</t>
        </is>
      </c>
      <c r="K42" s="22" t="n"/>
      <c r="L42" s="22" t="n"/>
      <c r="M42" s="22" t="n"/>
    </row>
    <row r="43" ht="69.75" customHeight="1" s="18">
      <c r="A43" s="20" t="inlineStr">
        <is>
          <t>CP-042</t>
        </is>
      </c>
      <c r="B43" s="21" t="inlineStr">
        <is>
          <t>D. Portal de clientes</t>
        </is>
      </c>
      <c r="C43" s="22" t="inlineStr">
        <is>
          <t>Sprint 3</t>
        </is>
      </c>
      <c r="D43" s="21" t="inlineStr">
        <is>
          <t>Solicitud de cambios con comentario</t>
        </is>
      </c>
      <c r="E43" s="21" t="inlineStr">
        <is>
          <t>Publicación en estado en revisión</t>
        </is>
      </c>
      <c r="F43" s="21" t="inlineStr">
        <is>
          <t>1. Solicitar cambios sin escribir comentario. 2. Repetir con un comentario válido.</t>
        </is>
      </c>
      <c r="G43" s="21" t="inlineStr">
        <is>
          <t>Sin comentario, la acción se bloquea. Con comentario, el estado cambia y la agencia es notificada.</t>
        </is>
      </c>
      <c r="H43" s="22" t="inlineStr">
        <is>
          <t>Funcional</t>
        </is>
      </c>
      <c r="I43" s="22" t="inlineStr">
        <is>
          <t>Alta</t>
        </is>
      </c>
      <c r="J43" s="22" t="inlineStr">
        <is>
          <t>Pendiente</t>
        </is>
      </c>
      <c r="K43" s="22" t="n"/>
      <c r="L43" s="22" t="n"/>
      <c r="M43" s="22" t="n"/>
    </row>
    <row r="44" ht="55.5" customHeight="1" s="18">
      <c r="A44" s="20" t="inlineStr">
        <is>
          <t>CP-043</t>
        </is>
      </c>
      <c r="B44" s="21" t="inlineStr">
        <is>
          <t>D. Portal de clientes</t>
        </is>
      </c>
      <c r="C44" s="22" t="inlineStr">
        <is>
          <t>Sprint 3</t>
        </is>
      </c>
      <c r="D44" s="21" t="inlineStr">
        <is>
          <t>Hilo de comentarios entre cliente y agencia</t>
        </is>
      </c>
      <c r="E44" s="21" t="inlineStr">
        <is>
          <t>Publicación con comentarios previos</t>
        </is>
      </c>
      <c r="F44" s="21" t="inlineStr">
        <is>
          <t>1. Responder a un comentario existente como cliente. 2. Verificar la vista de la agencia.</t>
        </is>
      </c>
      <c r="G44" s="21" t="inlineStr">
        <is>
          <t>El hilo mantiene el orden cronológico y la identificación del autor de cada mensaje.</t>
        </is>
      </c>
      <c r="H44" s="22" t="inlineStr">
        <is>
          <t>Funcional</t>
        </is>
      </c>
      <c r="I44" s="22" t="inlineStr">
        <is>
          <t>Media</t>
        </is>
      </c>
      <c r="J44" s="22" t="inlineStr">
        <is>
          <t>Pendiente</t>
        </is>
      </c>
      <c r="K44" s="22" t="n"/>
      <c r="L44" s="22" t="n"/>
      <c r="M44" s="22" t="n"/>
    </row>
    <row r="45" ht="42" customHeight="1" s="18">
      <c r="A45" s="20" t="inlineStr">
        <is>
          <t>CP-044</t>
        </is>
      </c>
      <c r="B45" s="21" t="inlineStr">
        <is>
          <t>D. Portal de clientes</t>
        </is>
      </c>
      <c r="C45" s="22" t="inlineStr">
        <is>
          <t>Sprint 3</t>
        </is>
      </c>
      <c r="D45" s="21" t="inlineStr">
        <is>
          <t>Reflejo del cambio de estado para la agencia</t>
        </is>
      </c>
      <c r="E45" s="21" t="inlineStr">
        <is>
          <t>Publicación aprobada por el cliente</t>
        </is>
      </c>
      <c r="F45" s="21" t="inlineStr">
        <is>
          <t>1. Ingresar al panel de la agencia.</t>
        </is>
      </c>
      <c r="G45" s="21" t="inlineStr">
        <is>
          <t>La publicación figura como aprobada y disponible para su programación.</t>
        </is>
      </c>
      <c r="H45" s="22" t="inlineStr">
        <is>
          <t>Funcional</t>
        </is>
      </c>
      <c r="I45" s="22" t="inlineStr">
        <is>
          <t>Alta</t>
        </is>
      </c>
      <c r="J45" s="22" t="inlineStr">
        <is>
          <t>Pendiente</t>
        </is>
      </c>
      <c r="K45" s="22" t="n"/>
      <c r="L45" s="22" t="n"/>
      <c r="M45" s="22" t="n"/>
    </row>
    <row r="46" ht="55.5" customHeight="1" s="18">
      <c r="A46" s="20" t="inlineStr">
        <is>
          <t>CP-045</t>
        </is>
      </c>
      <c r="B46" s="21" t="inlineStr">
        <is>
          <t>D. Portal de clientes</t>
        </is>
      </c>
      <c r="C46" s="22" t="inlineStr">
        <is>
          <t>Sprint 3</t>
        </is>
      </c>
      <c r="D46" s="21" t="inlineStr">
        <is>
          <t>Prevención de aprobación duplicada</t>
        </is>
      </c>
      <c r="E46" s="21" t="inlineStr">
        <is>
          <t>Publicación ya aprobada</t>
        </is>
      </c>
      <c r="F46" s="21" t="inlineStr">
        <is>
          <t>1. Intentar aprobar nuevamente la misma publicación.</t>
        </is>
      </c>
      <c r="G46" s="21" t="inlineStr">
        <is>
          <t>La acción no está disponible o se rechaza, informando el estado actual.</t>
        </is>
      </c>
      <c r="H46" s="22" t="inlineStr">
        <is>
          <t>Funcional</t>
        </is>
      </c>
      <c r="I46" s="22" t="inlineStr">
        <is>
          <t>Media</t>
        </is>
      </c>
      <c r="J46" s="22" t="inlineStr">
        <is>
          <t>Pendiente</t>
        </is>
      </c>
      <c r="K46" s="22" t="n"/>
      <c r="L46" s="22" t="n"/>
      <c r="M46" s="22" t="n"/>
    </row>
    <row r="47" ht="42" customHeight="1" s="18">
      <c r="A47" s="20" t="inlineStr">
        <is>
          <t>CP-046</t>
        </is>
      </c>
      <c r="B47" s="21" t="inlineStr">
        <is>
          <t>D. Portal de clientes</t>
        </is>
      </c>
      <c r="C47" s="22" t="inlineStr">
        <is>
          <t>Sprint 3</t>
        </is>
      </c>
      <c r="D47" s="21" t="inlineStr">
        <is>
          <t>Carga de archivo con tipo permitido</t>
        </is>
      </c>
      <c r="E47" s="21" t="inlineStr">
        <is>
          <t>Publicación en edición</t>
        </is>
      </c>
      <c r="F47" s="21" t="inlineStr">
        <is>
          <t>1. Adjuntar una imagen en formato permitido.</t>
        </is>
      </c>
      <c r="G47" s="21" t="inlineStr">
        <is>
          <t>El archivo se almacena y queda asociado a la publicación.</t>
        </is>
      </c>
      <c r="H47" s="22" t="inlineStr">
        <is>
          <t>Funcional</t>
        </is>
      </c>
      <c r="I47" s="22" t="inlineStr">
        <is>
          <t>Media</t>
        </is>
      </c>
      <c r="J47" s="22" t="inlineStr">
        <is>
          <t>Pendiente</t>
        </is>
      </c>
      <c r="K47" s="22" t="n"/>
      <c r="L47" s="22" t="n"/>
      <c r="M47" s="22" t="n"/>
    </row>
    <row r="48" ht="42" customHeight="1" s="18">
      <c r="A48" s="20" t="inlineStr">
        <is>
          <t>CP-047</t>
        </is>
      </c>
      <c r="B48" s="21" t="inlineStr">
        <is>
          <t>D. Portal de clientes</t>
        </is>
      </c>
      <c r="C48" s="22" t="inlineStr">
        <is>
          <t>Sprint 3</t>
        </is>
      </c>
      <c r="D48" s="21" t="inlineStr">
        <is>
          <t>Rechazo de archivo con extensión no permitida</t>
        </is>
      </c>
      <c r="E48" s="21" t="inlineStr">
        <is>
          <t>Publicación en edición</t>
        </is>
      </c>
      <c r="F48" s="21" t="inlineStr">
        <is>
          <t>1. Intentar adjuntar un archivo ejecutable renombrado como imagen.</t>
        </is>
      </c>
      <c r="G48" s="21" t="inlineStr">
        <is>
          <t>El sistema valida el tipo real del archivo y rechaza la carga.</t>
        </is>
      </c>
      <c r="H48" s="22" t="inlineStr">
        <is>
          <t>Seguridad</t>
        </is>
      </c>
      <c r="I48" s="22" t="inlineStr">
        <is>
          <t>Alta</t>
        </is>
      </c>
      <c r="J48" s="22" t="inlineStr">
        <is>
          <t>Pendiente</t>
        </is>
      </c>
      <c r="K48" s="22" t="n"/>
      <c r="L48" s="22" t="n"/>
      <c r="M48" s="22" t="n"/>
    </row>
    <row r="49" ht="42" customHeight="1" s="18">
      <c r="A49" s="20" t="inlineStr">
        <is>
          <t>CP-048</t>
        </is>
      </c>
      <c r="B49" s="21" t="inlineStr">
        <is>
          <t>D. Portal de clientes</t>
        </is>
      </c>
      <c r="C49" s="22" t="inlineStr">
        <is>
          <t>Sprint 3</t>
        </is>
      </c>
      <c r="D49" s="21" t="inlineStr">
        <is>
          <t>Rechazo de archivo de tamaño excesivo</t>
        </is>
      </c>
      <c r="E49" s="21" t="inlineStr">
        <is>
          <t>Publicación en edición</t>
        </is>
      </c>
      <c r="F49" s="21" t="inlineStr">
        <is>
          <t>1. Intentar adjuntar un archivo que supere el límite definido.</t>
        </is>
      </c>
      <c r="G49" s="21" t="inlineStr">
        <is>
          <t>Se rechaza la carga y se informa el límite permitido.</t>
        </is>
      </c>
      <c r="H49" s="22" t="inlineStr">
        <is>
          <t>Funcional</t>
        </is>
      </c>
      <c r="I49" s="22" t="inlineStr">
        <is>
          <t>Media</t>
        </is>
      </c>
      <c r="J49" s="22" t="inlineStr">
        <is>
          <t>Pendiente</t>
        </is>
      </c>
      <c r="K49" s="22" t="n"/>
      <c r="L49" s="22" t="n"/>
      <c r="M49" s="22" t="n"/>
    </row>
    <row r="50" ht="55.5" customHeight="1" s="18">
      <c r="A50" s="20" t="inlineStr">
        <is>
          <t>CP-049</t>
        </is>
      </c>
      <c r="B50" s="21" t="inlineStr">
        <is>
          <t>D. Portal de clientes</t>
        </is>
      </c>
      <c r="C50" s="22" t="inlineStr">
        <is>
          <t>Sprint 3</t>
        </is>
      </c>
      <c r="D50" s="21" t="inlineStr">
        <is>
          <t>Consistencia de fechas según zona horaria</t>
        </is>
      </c>
      <c r="E50" s="21" t="inlineStr">
        <is>
          <t>Publicaciones programadas cargadas</t>
        </is>
      </c>
      <c r="F50" s="21" t="inlineStr">
        <is>
          <t>1. Programar una publicación a las 23:30. 2. Verificarla desde el panel y desde el portal.</t>
        </is>
      </c>
      <c r="G50" s="21" t="inlineStr">
        <is>
          <t>La fecha y hora se muestran idénticas en ambas vistas, en horario de Chile continental.</t>
        </is>
      </c>
      <c r="H50" s="22" t="inlineStr">
        <is>
          <t>Funcional</t>
        </is>
      </c>
      <c r="I50" s="22" t="inlineStr">
        <is>
          <t>Alta</t>
        </is>
      </c>
      <c r="J50" s="22" t="inlineStr">
        <is>
          <t>Pendiente</t>
        </is>
      </c>
      <c r="K50" s="22" t="n"/>
      <c r="L50" s="22" t="n"/>
      <c r="M50" s="22" t="n"/>
    </row>
    <row r="51" ht="55.5" customHeight="1" s="18">
      <c r="A51" s="20" t="inlineStr">
        <is>
          <t>CP-050</t>
        </is>
      </c>
      <c r="B51" s="21" t="inlineStr">
        <is>
          <t>D. Portal de clientes</t>
        </is>
      </c>
      <c r="C51" s="22" t="inlineStr">
        <is>
          <t>Sprint 3</t>
        </is>
      </c>
      <c r="D51" s="21" t="inlineStr">
        <is>
          <t>Notificación de contenido pendiente de aprobación</t>
        </is>
      </c>
      <c r="E51" s="21" t="inlineStr">
        <is>
          <t>Publicación enviada a revisión</t>
        </is>
      </c>
      <c r="F51" s="21" t="inlineStr">
        <is>
          <t>1. Enviar una publicación a revisión desde la agencia.</t>
        </is>
      </c>
      <c r="G51" s="21" t="inlineStr">
        <is>
          <t>El cliente recibe la notificación por correo y dentro de la plataforma, con el enlace directo.</t>
        </is>
      </c>
      <c r="H51" s="22" t="inlineStr">
        <is>
          <t>Funcional</t>
        </is>
      </c>
      <c r="I51" s="22" t="inlineStr">
        <is>
          <t>Alta</t>
        </is>
      </c>
      <c r="J51" s="22" t="inlineStr">
        <is>
          <t>Pendiente</t>
        </is>
      </c>
      <c r="K51" s="22" t="n"/>
      <c r="L51" s="22" t="n"/>
      <c r="M51" s="22" t="n"/>
    </row>
    <row r="52" ht="55.5" customHeight="1" s="18">
      <c r="A52" s="20" t="inlineStr">
        <is>
          <t>CP-051</t>
        </is>
      </c>
      <c r="B52" s="21" t="inlineStr">
        <is>
          <t>E. Métricas y dashboards</t>
        </is>
      </c>
      <c r="C52" s="22" t="inlineStr">
        <is>
          <t>Sprint 4</t>
        </is>
      </c>
      <c r="D52" s="21" t="inlineStr">
        <is>
          <t>Carga del dashboard de métricas</t>
        </is>
      </c>
      <c r="E52" s="21" t="inlineStr">
        <is>
          <t>Cliente con métricas cargadas</t>
        </is>
      </c>
      <c r="F52" s="21" t="inlineStr">
        <is>
          <t>1. Abrir el dashboard del portal.</t>
        </is>
      </c>
      <c r="G52" s="21" t="inlineStr">
        <is>
          <t>Se muestran alcance, interacciones, seguidores y rendimiento del período por defecto.</t>
        </is>
      </c>
      <c r="H52" s="22" t="inlineStr">
        <is>
          <t>Funcional</t>
        </is>
      </c>
      <c r="I52" s="22" t="inlineStr">
        <is>
          <t>Alta</t>
        </is>
      </c>
      <c r="J52" s="22" t="inlineStr">
        <is>
          <t>Pendiente</t>
        </is>
      </c>
      <c r="K52" s="22" t="n"/>
      <c r="L52" s="22" t="n"/>
      <c r="M52" s="22" t="n"/>
    </row>
    <row r="53" ht="55.5" customHeight="1" s="18">
      <c r="A53" s="20" t="inlineStr">
        <is>
          <t>CP-052</t>
        </is>
      </c>
      <c r="B53" s="21" t="inlineStr">
        <is>
          <t>E. Métricas y dashboards</t>
        </is>
      </c>
      <c r="C53" s="22" t="inlineStr">
        <is>
          <t>Sprint 4</t>
        </is>
      </c>
      <c r="D53" s="21" t="inlineStr">
        <is>
          <t>Filtro por rango de fechas</t>
        </is>
      </c>
      <c r="E53" s="21" t="inlineStr">
        <is>
          <t>Métricas de al menos tres meses cargadas</t>
        </is>
      </c>
      <c r="F53" s="21" t="inlineStr">
        <is>
          <t>1. Seleccionar un rango acotado. 2. Aplicar el filtro.</t>
        </is>
      </c>
      <c r="G53" s="21" t="inlineStr">
        <is>
          <t>Los indicadores y gráficos se recalculan solo con los datos del rango seleccionado.</t>
        </is>
      </c>
      <c r="H53" s="22" t="inlineStr">
        <is>
          <t>Funcional</t>
        </is>
      </c>
      <c r="I53" s="22" t="inlineStr">
        <is>
          <t>Alta</t>
        </is>
      </c>
      <c r="J53" s="22" t="inlineStr">
        <is>
          <t>Pendiente</t>
        </is>
      </c>
      <c r="K53" s="22" t="n"/>
      <c r="L53" s="22" t="n"/>
      <c r="M53" s="22" t="n"/>
    </row>
    <row r="54" ht="55.5" customHeight="1" s="18">
      <c r="A54" s="20" t="inlineStr">
        <is>
          <t>CP-053</t>
        </is>
      </c>
      <c r="B54" s="21" t="inlineStr">
        <is>
          <t>E. Métricas y dashboards</t>
        </is>
      </c>
      <c r="C54" s="22" t="inlineStr">
        <is>
          <t>Sprint 4</t>
        </is>
      </c>
      <c r="D54" s="21" t="inlineStr">
        <is>
          <t>Aislamiento de métricas entre clientes</t>
        </is>
      </c>
      <c r="E54" s="21" t="inlineStr">
        <is>
          <t>Dos clientes con métricas propias</t>
        </is>
      </c>
      <c r="F54" s="21" t="inlineStr">
        <is>
          <t>1. Autenticarse como cliente A y registrar los valores. 2. Repetir como cliente B.</t>
        </is>
      </c>
      <c r="G54" s="21" t="inlineStr">
        <is>
          <t>Cada cliente visualiza exclusivamente sus propias métricas.</t>
        </is>
      </c>
      <c r="H54" s="22" t="inlineStr">
        <is>
          <t>Seguridad</t>
        </is>
      </c>
      <c r="I54" s="22" t="inlineStr">
        <is>
          <t>Alta</t>
        </is>
      </c>
      <c r="J54" s="22" t="inlineStr">
        <is>
          <t>Pendiente</t>
        </is>
      </c>
      <c r="K54" s="22" t="n"/>
      <c r="L54" s="22" t="n"/>
      <c r="M54" s="22" t="n"/>
    </row>
    <row r="55" ht="55.5" customHeight="1" s="18">
      <c r="A55" s="20" t="inlineStr">
        <is>
          <t>CP-054</t>
        </is>
      </c>
      <c r="B55" s="21" t="inlineStr">
        <is>
          <t>E. Métricas y dashboards</t>
        </is>
      </c>
      <c r="C55" s="22" t="inlineStr">
        <is>
          <t>Sprint 4</t>
        </is>
      </c>
      <c r="D55" s="21" t="inlineStr">
        <is>
          <t>Estado vacío por ausencia de datos</t>
        </is>
      </c>
      <c r="E55" s="21" t="inlineStr">
        <is>
          <t>Cliente sin métricas cargadas</t>
        </is>
      </c>
      <c r="F55" s="21" t="inlineStr">
        <is>
          <t>1. Abrir el dashboard.</t>
        </is>
      </c>
      <c r="G55" s="21" t="inlineStr">
        <is>
          <t>Se muestra un mensaje explicativo en lugar de gráficos vacíos o errores.</t>
        </is>
      </c>
      <c r="H55" s="22" t="inlineStr">
        <is>
          <t>Funcional</t>
        </is>
      </c>
      <c r="I55" s="22" t="inlineStr">
        <is>
          <t>Media</t>
        </is>
      </c>
      <c r="J55" s="22" t="inlineStr">
        <is>
          <t>Pendiente</t>
        </is>
      </c>
      <c r="K55" s="22" t="n"/>
      <c r="L55" s="22" t="n"/>
      <c r="M55" s="22" t="n"/>
    </row>
    <row r="56" ht="55.5" customHeight="1" s="18">
      <c r="A56" s="20" t="inlineStr">
        <is>
          <t>CP-055</t>
        </is>
      </c>
      <c r="B56" s="21" t="inlineStr">
        <is>
          <t>E. Métricas y dashboards</t>
        </is>
      </c>
      <c r="C56" s="22" t="inlineStr">
        <is>
          <t>Sprint 4</t>
        </is>
      </c>
      <c r="D56" s="21" t="inlineStr">
        <is>
          <t>Falla de la fuente externa de métricas</t>
        </is>
      </c>
      <c r="E56" s="21" t="inlineStr">
        <is>
          <t>API externa simulada como no disponible</t>
        </is>
      </c>
      <c r="F56" s="21" t="inlineStr">
        <is>
          <t>1. Abrir el dashboard mientras la fuente no responde.</t>
        </is>
      </c>
      <c r="G56" s="21" t="inlineStr">
        <is>
          <t>Se muestran los últimos datos disponibles indicando su fecha, sin bloquear el portal.</t>
        </is>
      </c>
      <c r="H56" s="22" t="inlineStr">
        <is>
          <t>Funcional</t>
        </is>
      </c>
      <c r="I56" s="22" t="inlineStr">
        <is>
          <t>Alta</t>
        </is>
      </c>
      <c r="J56" s="22" t="inlineStr">
        <is>
          <t>Pendiente</t>
        </is>
      </c>
      <c r="K56" s="22" t="n"/>
      <c r="L56" s="22" t="n"/>
      <c r="M56" s="22" t="n"/>
    </row>
    <row r="57" ht="84" customHeight="1" s="18">
      <c r="A57" s="20" t="inlineStr">
        <is>
          <t>CP-056</t>
        </is>
      </c>
      <c r="B57" s="21" t="inlineStr">
        <is>
          <t>E. Métricas y dashboards</t>
        </is>
      </c>
      <c r="C57" s="22" t="inlineStr">
        <is>
          <t>Sprint 4</t>
        </is>
      </c>
      <c r="D57" s="21" t="inlineStr">
        <is>
          <t>Carga manual de métricas por archivo</t>
        </is>
      </c>
      <c r="E57" s="21" t="inlineStr">
        <is>
          <t>Archivo CSV con el formato definido</t>
        </is>
      </c>
      <c r="F57" s="21" t="inlineStr">
        <is>
          <t>1. Cargar el archivo desde el panel de la agencia.</t>
        </is>
      </c>
      <c r="G57" s="21" t="inlineStr">
        <is>
          <t>Las métricas se incorporan al cliente correspondiente. Un archivo con formato inválido es rechazado con el detalle del error.</t>
        </is>
      </c>
      <c r="H57" s="22" t="inlineStr">
        <is>
          <t>Funcional</t>
        </is>
      </c>
      <c r="I57" s="22" t="inlineStr">
        <is>
          <t>Media</t>
        </is>
      </c>
      <c r="J57" s="22" t="inlineStr">
        <is>
          <t>Pendiente</t>
        </is>
      </c>
      <c r="K57" s="22" t="n"/>
      <c r="L57" s="22" t="n"/>
      <c r="M57" s="22" t="n"/>
    </row>
    <row r="58" ht="69.75" customHeight="1" s="18">
      <c r="A58" s="20" t="inlineStr">
        <is>
          <t>CP-057</t>
        </is>
      </c>
      <c r="B58" s="21" t="inlineStr">
        <is>
          <t>F. Funciones de IA</t>
        </is>
      </c>
      <c r="C58" s="22" t="inlineStr">
        <is>
          <t>Sprint 4</t>
        </is>
      </c>
      <c r="D58" s="21" t="inlineStr">
        <is>
          <t>Generación del diagnóstico asistido</t>
        </is>
      </c>
      <c r="E58" s="21" t="inlineStr">
        <is>
          <t>Cotización con datos del prospecto completos</t>
        </is>
      </c>
      <c r="F58" s="21" t="inlineStr">
        <is>
          <t>1. Solicitar la generación del diagnóstico.</t>
        </is>
      </c>
      <c r="G58" s="21" t="inlineStr">
        <is>
          <t>Se genera un borrador coherente con los datos ingresados, identificado como contenido generado por IA.</t>
        </is>
      </c>
      <c r="H58" s="22" t="inlineStr">
        <is>
          <t>Funcional</t>
        </is>
      </c>
      <c r="I58" s="22" t="inlineStr">
        <is>
          <t>Alta</t>
        </is>
      </c>
      <c r="J58" s="22" t="inlineStr">
        <is>
          <t>Pendiente</t>
        </is>
      </c>
      <c r="K58" s="22" t="n"/>
      <c r="L58" s="22" t="n"/>
      <c r="M58" s="22" t="n"/>
    </row>
    <row r="59" ht="42" customHeight="1" s="18">
      <c r="A59" s="20" t="inlineStr">
        <is>
          <t>CP-058</t>
        </is>
      </c>
      <c r="B59" s="21" t="inlineStr">
        <is>
          <t>F. Funciones de IA</t>
        </is>
      </c>
      <c r="C59" s="22" t="inlineStr">
        <is>
          <t>Sprint 4</t>
        </is>
      </c>
      <c r="D59" s="21" t="inlineStr">
        <is>
          <t>Edición del borrador generado</t>
        </is>
      </c>
      <c r="E59" s="21" t="inlineStr">
        <is>
          <t>Borrador generado disponible</t>
        </is>
      </c>
      <c r="F59" s="21" t="inlineStr">
        <is>
          <t>1. Modificar el texto propuesto. 2. Guardar.</t>
        </is>
      </c>
      <c r="G59" s="21" t="inlineStr">
        <is>
          <t>El texto editado se conserva y reemplaza al borrador original.</t>
        </is>
      </c>
      <c r="H59" s="22" t="inlineStr">
        <is>
          <t>Funcional</t>
        </is>
      </c>
      <c r="I59" s="22" t="inlineStr">
        <is>
          <t>Alta</t>
        </is>
      </c>
      <c r="J59" s="22" t="inlineStr">
        <is>
          <t>Pendiente</t>
        </is>
      </c>
      <c r="K59" s="22" t="n"/>
      <c r="L59" s="22" t="n"/>
      <c r="M59" s="22" t="n"/>
    </row>
    <row r="60" ht="55.5" customHeight="1" s="18">
      <c r="A60" s="20" t="inlineStr">
        <is>
          <t>CP-059</t>
        </is>
      </c>
      <c r="B60" s="21" t="inlineStr">
        <is>
          <t>F. Funciones de IA</t>
        </is>
      </c>
      <c r="C60" s="22" t="inlineStr">
        <is>
          <t>Sprint 4</t>
        </is>
      </c>
      <c r="D60" s="21" t="inlineStr">
        <is>
          <t>Confirmación obligatoria antes del envío</t>
        </is>
      </c>
      <c r="E60" s="21" t="inlineStr">
        <is>
          <t>Borrador generado disponible</t>
        </is>
      </c>
      <c r="F60" s="21" t="inlineStr">
        <is>
          <t>1. Intentar enviar el contenido al cliente.</t>
        </is>
      </c>
      <c r="G60" s="21" t="inlineStr">
        <is>
          <t>Se exige una vista previa y una confirmación explícita antes de cualquier envío.</t>
        </is>
      </c>
      <c r="H60" s="22" t="inlineStr">
        <is>
          <t>Seguridad</t>
        </is>
      </c>
      <c r="I60" s="22" t="inlineStr">
        <is>
          <t>Alta</t>
        </is>
      </c>
      <c r="J60" s="22" t="inlineStr">
        <is>
          <t>Pendiente</t>
        </is>
      </c>
      <c r="K60" s="22" t="n"/>
      <c r="L60" s="22" t="n"/>
      <c r="M60" s="22" t="n"/>
    </row>
    <row r="61" ht="55.5" customHeight="1" s="18">
      <c r="A61" s="20" t="inlineStr">
        <is>
          <t>CP-060</t>
        </is>
      </c>
      <c r="B61" s="21" t="inlineStr">
        <is>
          <t>F. Funciones de IA</t>
        </is>
      </c>
      <c r="C61" s="22" t="inlineStr">
        <is>
          <t>Sprint 4</t>
        </is>
      </c>
      <c r="D61" s="21" t="inlineStr">
        <is>
          <t>Identificación del contenido generado</t>
        </is>
      </c>
      <c r="E61" s="21" t="inlineStr">
        <is>
          <t>Borrador generado disponible</t>
        </is>
      </c>
      <c r="F61" s="21" t="inlineStr">
        <is>
          <t>1. Revisar la interfaz del borrador.</t>
        </is>
      </c>
      <c r="G61" s="21" t="inlineStr">
        <is>
          <t>El contenido está visiblemente marcado como generado por IA mientras no sea aprobado.</t>
        </is>
      </c>
      <c r="H61" s="22" t="inlineStr">
        <is>
          <t>Funcional</t>
        </is>
      </c>
      <c r="I61" s="22" t="inlineStr">
        <is>
          <t>Media</t>
        </is>
      </c>
      <c r="J61" s="22" t="inlineStr">
        <is>
          <t>Pendiente</t>
        </is>
      </c>
      <c r="K61" s="22" t="n"/>
      <c r="L61" s="22" t="n"/>
      <c r="M61" s="22" t="n"/>
    </row>
    <row r="62" ht="55.5" customHeight="1" s="18">
      <c r="A62" s="20" t="inlineStr">
        <is>
          <t>CP-061</t>
        </is>
      </c>
      <c r="B62" s="21" t="inlineStr">
        <is>
          <t>F. Funciones de IA</t>
        </is>
      </c>
      <c r="C62" s="22" t="inlineStr">
        <is>
          <t>Sprint 4</t>
        </is>
      </c>
      <c r="D62" s="21" t="inlineStr">
        <is>
          <t>Falla o demora del servicio de IA</t>
        </is>
      </c>
      <c r="E62" s="21" t="inlineStr">
        <is>
          <t>Servicio de IA simulado como no disponible</t>
        </is>
      </c>
      <c r="F62" s="21" t="inlineStr">
        <is>
          <t>1. Solicitar la generación del contenido.</t>
        </is>
      </c>
      <c r="G62" s="21" t="inlineStr">
        <is>
          <t>Se informa el error sin bloquear el módulo. El flujo manual equivalente permanece disponible.</t>
        </is>
      </c>
      <c r="H62" s="22" t="inlineStr">
        <is>
          <t>Funcional</t>
        </is>
      </c>
      <c r="I62" s="22" t="inlineStr">
        <is>
          <t>Alta</t>
        </is>
      </c>
      <c r="J62" s="22" t="inlineStr">
        <is>
          <t>Pendiente</t>
        </is>
      </c>
      <c r="K62" s="22" t="n"/>
      <c r="L62" s="22" t="n"/>
      <c r="M62" s="22" t="n"/>
    </row>
    <row r="63" ht="69.75" customHeight="1" s="18">
      <c r="A63" s="20" t="inlineStr">
        <is>
          <t>CP-062</t>
        </is>
      </c>
      <c r="B63" s="21" t="inlineStr">
        <is>
          <t>F. Funciones de IA</t>
        </is>
      </c>
      <c r="C63" s="22" t="inlineStr">
        <is>
          <t>Sprint 4</t>
        </is>
      </c>
      <c r="D63" s="21" t="inlineStr">
        <is>
          <t>Datos enviados al modelo</t>
        </is>
      </c>
      <c r="E63" s="21" t="inlineStr">
        <is>
          <t>Función de IA operativa</t>
        </is>
      </c>
      <c r="F63" s="21" t="inlineStr">
        <is>
          <t>1. Ejecutar la generación. 2. Inspeccionar el contenido de la solicitud enviada.</t>
        </is>
      </c>
      <c r="G63" s="21" t="inlineStr">
        <is>
          <t>La solicitud no incluye datos identificatorios de los clientes ni información ajena a la función.</t>
        </is>
      </c>
      <c r="H63" s="22" t="inlineStr">
        <is>
          <t>Seguridad</t>
        </is>
      </c>
      <c r="I63" s="22" t="inlineStr">
        <is>
          <t>Alta</t>
        </is>
      </c>
      <c r="J63" s="22" t="inlineStr">
        <is>
          <t>Pendiente</t>
        </is>
      </c>
      <c r="K63" s="22" t="n"/>
      <c r="L63" s="22" t="n"/>
      <c r="M63" s="22" t="n"/>
    </row>
    <row r="64" ht="55.5" customHeight="1" s="18">
      <c r="A64" s="20" t="inlineStr">
        <is>
          <t>CP-063</t>
        </is>
      </c>
      <c r="B64" s="21" t="inlineStr">
        <is>
          <t>G. Notificaciones y correo</t>
        </is>
      </c>
      <c r="C64" s="22" t="inlineStr">
        <is>
          <t>Sprint 4</t>
        </is>
      </c>
      <c r="D64" s="21" t="inlineStr">
        <is>
          <t>Envío de correo transaccional</t>
        </is>
      </c>
      <c r="E64" s="21" t="inlineStr">
        <is>
          <t>Servicio de correo configurado</t>
        </is>
      </c>
      <c r="F64" s="21" t="inlineStr">
        <is>
          <t>1. Enviar una cotización a un prospecto.</t>
        </is>
      </c>
      <c r="G64" s="21" t="inlineStr">
        <is>
          <t>El correo llega al destinatario con el asunto, el cuerpo y el enlace correctos.</t>
        </is>
      </c>
      <c r="H64" s="22" t="inlineStr">
        <is>
          <t>Funcional</t>
        </is>
      </c>
      <c r="I64" s="22" t="inlineStr">
        <is>
          <t>Alta</t>
        </is>
      </c>
      <c r="J64" s="22" t="inlineStr">
        <is>
          <t>Pendiente</t>
        </is>
      </c>
      <c r="K64" s="22" t="n"/>
      <c r="L64" s="22" t="n"/>
      <c r="M64" s="22" t="n"/>
    </row>
    <row r="65" ht="55.5" customHeight="1" s="18">
      <c r="A65" s="20" t="inlineStr">
        <is>
          <t>CP-064</t>
        </is>
      </c>
      <c r="B65" s="21" t="inlineStr">
        <is>
          <t>G. Notificaciones y correo</t>
        </is>
      </c>
      <c r="C65" s="22" t="inlineStr">
        <is>
          <t>Sprint 4</t>
        </is>
      </c>
      <c r="D65" s="21" t="inlineStr">
        <is>
          <t>Entregabilidad del correo</t>
        </is>
      </c>
      <c r="E65" s="21" t="inlineStr">
        <is>
          <t>Dominio con autenticación configurada</t>
        </is>
      </c>
      <c r="F65" s="21" t="inlineStr">
        <is>
          <t>1. Enviar correos a tres proveedores distintos. 2. Revisar la bandeja de cada uno.</t>
        </is>
      </c>
      <c r="G65" s="21" t="inlineStr">
        <is>
          <t>Los correos llegan a la bandeja principal y no a la carpeta de no deseados.</t>
        </is>
      </c>
      <c r="H65" s="22" t="inlineStr">
        <is>
          <t>Funcional</t>
        </is>
      </c>
      <c r="I65" s="22" t="inlineStr">
        <is>
          <t>Alta</t>
        </is>
      </c>
      <c r="J65" s="22" t="inlineStr">
        <is>
          <t>Pendiente</t>
        </is>
      </c>
      <c r="K65" s="22" t="n"/>
      <c r="L65" s="22" t="n"/>
      <c r="M65" s="22" t="n"/>
    </row>
    <row r="66" ht="55.5" customHeight="1" s="18">
      <c r="A66" s="20" t="inlineStr">
        <is>
          <t>CP-065</t>
        </is>
      </c>
      <c r="B66" s="21" t="inlineStr">
        <is>
          <t>G. Notificaciones y correo</t>
        </is>
      </c>
      <c r="C66" s="22" t="inlineStr">
        <is>
          <t>Sprint 4</t>
        </is>
      </c>
      <c r="D66" s="21" t="inlineStr">
        <is>
          <t>Notificación dentro de la plataforma</t>
        </is>
      </c>
      <c r="E66" s="21" t="inlineStr">
        <is>
          <t>Usuario con notificaciones pendientes</t>
        </is>
      </c>
      <c r="F66" s="21" t="inlineStr">
        <is>
          <t>1. Generar un evento notificable. 2. Ingresar a la plataforma.</t>
        </is>
      </c>
      <c r="G66" s="21" t="inlineStr">
        <is>
          <t>La notificación aparece dentro del sistema aunque el correo no haya sido leído.</t>
        </is>
      </c>
      <c r="H66" s="22" t="inlineStr">
        <is>
          <t>Funcional</t>
        </is>
      </c>
      <c r="I66" s="22" t="inlineStr">
        <is>
          <t>Media</t>
        </is>
      </c>
      <c r="J66" s="22" t="inlineStr">
        <is>
          <t>Pendiente</t>
        </is>
      </c>
      <c r="K66" s="22" t="n"/>
      <c r="L66" s="22" t="n"/>
      <c r="M66" s="22" t="n"/>
    </row>
    <row r="67" ht="55.5" customHeight="1" s="18">
      <c r="A67" s="20" t="inlineStr">
        <is>
          <t>CP-066</t>
        </is>
      </c>
      <c r="B67" s="21" t="inlineStr">
        <is>
          <t>G. Notificaciones y correo</t>
        </is>
      </c>
      <c r="C67" s="22" t="inlineStr">
        <is>
          <t>Sprint 4</t>
        </is>
      </c>
      <c r="D67" s="21" t="inlineStr">
        <is>
          <t>Reintento ante falla del proveedor de correo</t>
        </is>
      </c>
      <c r="E67" s="21" t="inlineStr">
        <is>
          <t>Proveedor simulado como no disponible</t>
        </is>
      </c>
      <c r="F67" s="21" t="inlineStr">
        <is>
          <t>1. Ejecutar un envío durante la indisponibilidad.</t>
        </is>
      </c>
      <c r="G67" s="21" t="inlineStr">
        <is>
          <t>El envío se reintenta y queda registrado. El usuario es informado del estado del envío.</t>
        </is>
      </c>
      <c r="H67" s="22" t="inlineStr">
        <is>
          <t>Funcional</t>
        </is>
      </c>
      <c r="I67" s="22" t="inlineStr">
        <is>
          <t>Media</t>
        </is>
      </c>
      <c r="J67" s="22" t="inlineStr">
        <is>
          <t>Pendiente</t>
        </is>
      </c>
      <c r="K67" s="22" t="n"/>
      <c r="L67" s="22" t="n"/>
      <c r="M67" s="22" t="n"/>
    </row>
    <row r="68" ht="55.5" customHeight="1" s="18">
      <c r="A68" s="20" t="inlineStr">
        <is>
          <t>CP-067</t>
        </is>
      </c>
      <c r="B68" s="21" t="inlineStr">
        <is>
          <t>H. Pruebas no funcionales</t>
        </is>
      </c>
      <c r="C68" s="22" t="inlineStr">
        <is>
          <t>Sprint 5</t>
        </is>
      </c>
      <c r="D68" s="21" t="inlineStr">
        <is>
          <t>Tiempo de respuesta con volumen realista</t>
        </is>
      </c>
      <c r="E68" s="21" t="inlineStr">
        <is>
          <t>Ambiente con datos de volumen representativo</t>
        </is>
      </c>
      <c r="F68" s="21" t="inlineStr">
        <is>
          <t>1. Abrir el dashboard y el listado de prospectos. 2. Medir el tiempo de carga.</t>
        </is>
      </c>
      <c r="G68" s="21" t="inlineStr">
        <is>
          <t>Las vistas críticas responden en un tiempo no superior a tres segundos.</t>
        </is>
      </c>
      <c r="H68" s="22" t="inlineStr">
        <is>
          <t>Rendimiento</t>
        </is>
      </c>
      <c r="I68" s="22" t="inlineStr">
        <is>
          <t>Alta</t>
        </is>
      </c>
      <c r="J68" s="22" t="inlineStr">
        <is>
          <t>Pendiente</t>
        </is>
      </c>
      <c r="K68" s="22" t="n"/>
      <c r="L68" s="22" t="n"/>
      <c r="M68" s="22" t="n"/>
    </row>
    <row r="69" ht="69.75" customHeight="1" s="18">
      <c r="A69" s="20" t="inlineStr">
        <is>
          <t>CP-068</t>
        </is>
      </c>
      <c r="B69" s="21" t="inlineStr">
        <is>
          <t>H. Pruebas no funcionales</t>
        </is>
      </c>
      <c r="C69" s="22" t="inlineStr">
        <is>
          <t>Sprint 5</t>
        </is>
      </c>
      <c r="D69" s="21" t="inlineStr">
        <is>
          <t>Compatibilidad entre navegadores</t>
        </is>
      </c>
      <c r="E69" s="21" t="inlineStr">
        <is>
          <t>Sistema desplegado</t>
        </is>
      </c>
      <c r="F69" s="21" t="inlineStr">
        <is>
          <t>1. Ejecutar el flujo de aprobación en los navegadores soportados.</t>
        </is>
      </c>
      <c r="G69" s="21" t="inlineStr">
        <is>
          <t>El comportamiento y la presentación son equivalentes en todos los navegadores declarados como soportados.</t>
        </is>
      </c>
      <c r="H69" s="22" t="inlineStr">
        <is>
          <t>Compatibilidad</t>
        </is>
      </c>
      <c r="I69" s="22" t="inlineStr">
        <is>
          <t>Media</t>
        </is>
      </c>
      <c r="J69" s="22" t="inlineStr">
        <is>
          <t>Pendiente</t>
        </is>
      </c>
      <c r="K69" s="22" t="n"/>
      <c r="L69" s="22" t="n"/>
      <c r="M69" s="22" t="n"/>
    </row>
    <row r="70" ht="55.5" customHeight="1" s="18">
      <c r="A70" s="20" t="inlineStr">
        <is>
          <t>CP-069</t>
        </is>
      </c>
      <c r="B70" s="21" t="inlineStr">
        <is>
          <t>H. Pruebas no funcionales</t>
        </is>
      </c>
      <c r="C70" s="22" t="inlineStr">
        <is>
          <t>Sprint 5</t>
        </is>
      </c>
      <c r="D70" s="21" t="inlineStr">
        <is>
          <t>Restauración desde respaldo</t>
        </is>
      </c>
      <c r="E70" s="21" t="inlineStr">
        <is>
          <t>Respaldo diario habilitado</t>
        </is>
      </c>
      <c r="F70" s="21" t="inlineStr">
        <is>
          <t>1. Restaurar el respaldo en un ambiente aislado. 2. Verificar la integridad de los datos.</t>
        </is>
      </c>
      <c r="G70" s="21" t="inlineStr">
        <is>
          <t>La restauración se completa y los datos quedan íntegros y consistentes.</t>
        </is>
      </c>
      <c r="H70" s="22" t="inlineStr">
        <is>
          <t>Recuperación</t>
        </is>
      </c>
      <c r="I70" s="22" t="inlineStr">
        <is>
          <t>Alta</t>
        </is>
      </c>
      <c r="J70" s="22" t="inlineStr">
        <is>
          <t>Pendiente</t>
        </is>
      </c>
      <c r="K70" s="22" t="n"/>
      <c r="L70" s="22" t="n"/>
      <c r="M70" s="22" t="n"/>
    </row>
    <row r="71" ht="55.5" customHeight="1" s="18">
      <c r="A71" s="20" t="inlineStr">
        <is>
          <t>CP-070</t>
        </is>
      </c>
      <c r="B71" s="21" t="inlineStr">
        <is>
          <t>H. Pruebas no funcionales</t>
        </is>
      </c>
      <c r="C71" s="22" t="inlineStr">
        <is>
          <t>Sprint 5</t>
        </is>
      </c>
      <c r="D71" s="21" t="inlineStr">
        <is>
          <t>Reversión de un despliegue</t>
        </is>
      </c>
      <c r="E71" s="21" t="inlineStr">
        <is>
          <t>Dos revisiones desplegadas</t>
        </is>
      </c>
      <c r="F71" s="21" t="inlineStr">
        <is>
          <t>1. Revertir a la revisión anterior. 2. Verificar el funcionamiento del sistema.</t>
        </is>
      </c>
      <c r="G71" s="21" t="inlineStr">
        <is>
          <t>El sistema vuelve a operar con la revisión anterior sin pérdida de datos.</t>
        </is>
      </c>
      <c r="H71" s="22" t="inlineStr">
        <is>
          <t>Recuperación</t>
        </is>
      </c>
      <c r="I71" s="22" t="inlineStr">
        <is>
          <t>Alta</t>
        </is>
      </c>
      <c r="J71" s="22" t="inlineStr">
        <is>
          <t>Pendiente</t>
        </is>
      </c>
      <c r="K71" s="22" t="n"/>
      <c r="L71" s="22" t="n"/>
      <c r="M71" s="22" t="n"/>
    </row>
    <row r="72">
      <c r="A72" s="20" t="inlineStr">
        <is>
          <t>CP-071</t>
        </is>
      </c>
      <c r="B72" s="21" t="inlineStr">
        <is>
          <t>C. Gestión comercial</t>
        </is>
      </c>
      <c r="C72" s="22" t="inlineStr">
        <is>
          <t>Sprint 3</t>
        </is>
      </c>
      <c r="D72" s="21" t="inlineStr">
        <is>
          <t>PC-CAT-01 - Administración del catálogo de planes y servicios</t>
        </is>
      </c>
      <c r="E72" s="21" t="inlineStr">
        <is>
          <t>Usuario administrador autenticado y permisos de gestión del catálogo.</t>
        </is>
      </c>
      <c r="F72" s="21" t="inlineStr">
        <is>
          <t>1. Ingresar al módulo de catálogo. 2. Crear un nuevo plan/servicio con nombre, descripción, precio y estado. 3. Guardar. 4. Editar un dato y guardar nuevamente.</t>
        </is>
      </c>
      <c r="G72" s="21" t="inlineStr">
        <is>
          <t>El plan/servicio se crea y modifica correctamente desde la interfaz administrativa. Los cambios quedan disponibles para las cotizaciones sin modificar código.</t>
        </is>
      </c>
      <c r="H72" s="22" t="inlineStr">
        <is>
          <t>Funcional</t>
        </is>
      </c>
      <c r="I72" s="22" t="inlineStr">
        <is>
          <t>Alta</t>
        </is>
      </c>
      <c r="J72" s="22" t="inlineStr">
        <is>
          <t>Pendiente</t>
        </is>
      </c>
      <c r="K72" s="22" t="n"/>
      <c r="L72" s="22" t="n"/>
      <c r="M72" s="22" t="n"/>
    </row>
    <row r="73">
      <c r="A73" s="20" t="inlineStr">
        <is>
          <t>CP-072</t>
        </is>
      </c>
      <c r="B73" s="21" t="inlineStr">
        <is>
          <t>C. Gestión comercial</t>
        </is>
      </c>
      <c r="C73" s="22" t="inlineStr">
        <is>
          <t>Sprint 3</t>
        </is>
      </c>
      <c r="D73" s="21" t="inlineStr">
        <is>
          <t>PC-CAT-02 - Activación y desactivación de planes y servicios</t>
        </is>
      </c>
      <c r="E73" s="21" t="inlineStr">
        <is>
          <t>Usuario administrador autenticado y catálogo con al menos un plan/servicio activo.</t>
        </is>
      </c>
      <c r="F73" s="21" t="inlineStr">
        <is>
          <t>1. Desactivar un plan/servicio. 2. Verificar su disponibilidad al crear una cotización. 3. Reactivarlo. 4. Verificar nuevamente su disponibilidad.</t>
        </is>
      </c>
      <c r="G73" s="21" t="inlineStr">
        <is>
          <t>Un elemento desactivado deja de estar disponible para nuevas cotizaciones, sin eliminar su información histórica. Al reactivarlo vuelve a estar disponible.</t>
        </is>
      </c>
      <c r="H73" s="22" t="inlineStr">
        <is>
          <t>Funcional</t>
        </is>
      </c>
      <c r="I73" s="22" t="inlineStr">
        <is>
          <t>Alta</t>
        </is>
      </c>
      <c r="J73" s="22" t="inlineStr">
        <is>
          <t>Pendiente</t>
        </is>
      </c>
      <c r="K73" s="22" t="n"/>
      <c r="L73" s="22" t="n"/>
      <c r="M73" s="22" t="n"/>
    </row>
    <row r="74">
      <c r="A74" s="20" t="inlineStr">
        <is>
          <t>CP-073</t>
        </is>
      </c>
      <c r="B74" s="21" t="inlineStr">
        <is>
          <t>C. Gestión comercial</t>
        </is>
      </c>
      <c r="C74" s="22" t="inlineStr">
        <is>
          <t>Sprint 2</t>
        </is>
      </c>
      <c r="D74" s="21" t="inlineStr">
        <is>
          <t>PC-CLI-02 - Visualización de la ficha completa del cliente</t>
        </is>
      </c>
      <c r="E74" s="21" t="inlineStr">
        <is>
          <t>Cliente creado con contrato, directrices de marca, objetivos, KPIs y documentos asociados.</t>
        </is>
      </c>
      <c r="F74" s="21" t="inlineStr">
        <is>
          <t>1. Ingresar a la ficha del cliente como usuario autorizado. 2. Revisar cada sección de la ficha. 3. Abrir los documentos asociados.</t>
        </is>
      </c>
      <c r="G74" s="21" t="inlineStr">
        <is>
          <t>La ficha muestra el contrato, directrices de marca, objetivos, KPIs y documentos correspondientes al cliente, sin mezclar información de otros clientes.</t>
        </is>
      </c>
      <c r="H74" s="22" t="inlineStr">
        <is>
          <t>Funcional</t>
        </is>
      </c>
      <c r="I74" s="22" t="inlineStr">
        <is>
          <t>Alta</t>
        </is>
      </c>
      <c r="J74" s="22" t="inlineStr">
        <is>
          <t>Pendiente</t>
        </is>
      </c>
      <c r="K74" s="22" t="n"/>
      <c r="L74" s="22" t="n"/>
      <c r="M74" s="22" t="n"/>
    </row>
    <row r="75">
      <c r="A75" s="20" t="inlineStr">
        <is>
          <t>CP-074</t>
        </is>
      </c>
      <c r="B75" s="21" t="inlineStr">
        <is>
          <t>D. Portal de clientes</t>
        </is>
      </c>
      <c r="C75" s="22" t="inlineStr">
        <is>
          <t>Sprint 3</t>
        </is>
      </c>
      <c r="D75" s="21" t="inlineStr">
        <is>
          <t>PC-CUM-01 - Control del cumplimiento del plan contratado desde la agencia</t>
        </is>
      </c>
      <c r="E75" s="21" t="inlineStr">
        <is>
          <t>Cliente con plan contratado, actividades definidas y algunas actividades ejecutadas y pendientes.</t>
        </is>
      </c>
      <c r="F75" s="21" t="inlineStr">
        <is>
          <t>1. Ingresar a la vista de cumplimiento como usuario de agencia. 2. Seleccionar un cliente. 3. Revisar actividades, estados y avance.</t>
        </is>
      </c>
      <c r="G75" s="21" t="inlineStr">
        <is>
          <t>La agencia puede visualizar el cumplimiento del plan contratado, distinguiendo actividades realizadas, pendientes y su avance respecto del plan.</t>
        </is>
      </c>
      <c r="H75" s="22" t="inlineStr">
        <is>
          <t>Funcional</t>
        </is>
      </c>
      <c r="I75" s="22" t="inlineStr">
        <is>
          <t>Alta</t>
        </is>
      </c>
      <c r="J75" s="22" t="inlineStr">
        <is>
          <t>Pendiente</t>
        </is>
      </c>
      <c r="K75" s="22" t="n"/>
      <c r="L75" s="22" t="n"/>
      <c r="M75" s="22" t="n"/>
    </row>
    <row r="76">
      <c r="A76" s="20" t="inlineStr">
        <is>
          <t>CP-075</t>
        </is>
      </c>
      <c r="B76" s="21" t="inlineStr">
        <is>
          <t>D. Portal de clientes</t>
        </is>
      </c>
      <c r="C76" s="22" t="inlineStr">
        <is>
          <t>Sprint 3</t>
        </is>
      </c>
      <c r="D76" s="21" t="inlineStr">
        <is>
          <t>PC-CUM-02 - Visualización del cumplimiento del plan desde el portal cliente</t>
        </is>
      </c>
      <c r="E76" s="21" t="inlineStr">
        <is>
          <t>Cliente con plan contratado y actividades con distintos estados.</t>
        </is>
      </c>
      <c r="F76" s="21" t="inlineStr">
        <is>
          <t>1. Ingresar al portal como cliente. 2. Abrir la sección de cumplimiento. 3. Comparar el avance mostrado con el plan contratado.</t>
        </is>
      </c>
      <c r="G76" s="21" t="inlineStr">
        <is>
          <t>El cliente visualiza el estado y avance de cumplimiento de su propio plan contratado, sin acceso a información de otros clientes.</t>
        </is>
      </c>
      <c r="H76" s="22" t="inlineStr">
        <is>
          <t>Funcional</t>
        </is>
      </c>
      <c r="I76" s="22" t="inlineStr">
        <is>
          <t>Alta</t>
        </is>
      </c>
      <c r="J76" s="22" t="inlineStr">
        <is>
          <t>Pendiente</t>
        </is>
      </c>
      <c r="K76" s="22" t="n"/>
      <c r="L76" s="22" t="n"/>
      <c r="M76" s="22" t="n"/>
    </row>
    <row r="77">
      <c r="A77" s="20" t="inlineStr">
        <is>
          <t>CP-076</t>
        </is>
      </c>
      <c r="B77" s="21" t="inlineStr">
        <is>
          <t>D. Portal de clientes</t>
        </is>
      </c>
      <c r="C77" s="22" t="inlineStr">
        <is>
          <t>Sprint 3</t>
        </is>
      </c>
      <c r="D77" s="21" t="inlineStr">
        <is>
          <t>PC-POR-01 - Acceso al portal del cliente y visualización de solicitudes y archivos</t>
        </is>
      </c>
      <c r="E77" s="21" t="inlineStr">
        <is>
          <t>Cliente autenticado con solicitudes y archivos previamente registrados.</t>
        </is>
      </c>
      <c r="F77" s="21" t="inlineStr">
        <is>
          <t>1. Ingresar al portal del cliente. 2. Abrir la sección de solicitudes. 3. Revisar los archivos disponibles.</t>
        </is>
      </c>
      <c r="G77" s="21" t="inlineStr">
        <is>
          <t>El cliente accede a su portal y puede consultar sus solicitudes y archivos asociados. La información corresponde exclusivamente al cliente autenticado.</t>
        </is>
      </c>
      <c r="H77" s="22" t="inlineStr">
        <is>
          <t>Funcional</t>
        </is>
      </c>
      <c r="I77" s="22" t="inlineStr">
        <is>
          <t>Alta</t>
        </is>
      </c>
      <c r="J77" s="22" t="inlineStr">
        <is>
          <t>Pendiente</t>
        </is>
      </c>
      <c r="K77" s="22" t="n"/>
      <c r="L77" s="22" t="n"/>
      <c r="M77" s="22" t="n"/>
    </row>
    <row r="78">
      <c r="A78" s="20" t="inlineStr">
        <is>
          <t>CP-077</t>
        </is>
      </c>
      <c r="B78" s="21" t="inlineStr">
        <is>
          <t>D. Portal de clientes</t>
        </is>
      </c>
      <c r="C78" s="22" t="inlineStr">
        <is>
          <t>Sprint 3</t>
        </is>
      </c>
      <c r="D78" s="21" t="inlineStr">
        <is>
          <t>PC-SOL-01 - Creación y seguimiento de una solicitud del cliente</t>
        </is>
      </c>
      <c r="E78" s="21" t="inlineStr">
        <is>
          <t>Cliente autenticado y portal operativo.</t>
        </is>
      </c>
      <c r="F78" s="21" t="inlineStr">
        <is>
          <t>1. Crear una solicitud indicando asunto y detalle. 2. Adjuntar un archivo si corresponde. 3. Enviar. 4. Consultar el estado de la solicitud.</t>
        </is>
      </c>
      <c r="G78" s="21" t="inlineStr">
        <is>
          <t>La solicitud se registra correctamente, queda asociada al cliente, el archivo se almacena cuando corresponde y el cliente puede consultar el estado de su solicitud.</t>
        </is>
      </c>
      <c r="H78" s="22" t="inlineStr">
        <is>
          <t>Funcional</t>
        </is>
      </c>
      <c r="I78" s="22" t="inlineStr">
        <is>
          <t>Alta</t>
        </is>
      </c>
      <c r="J78" s="22" t="inlineStr">
        <is>
          <t>Pendiente</t>
        </is>
      </c>
      <c r="K78" s="22" t="n"/>
      <c r="L78" s="22" t="n"/>
      <c r="M78" s="22" t="n"/>
    </row>
  </sheetData>
  <autoFilter ref="A1:M78"/>
  <dataValidations count="1">
    <dataValidation sqref="J2:J71" showDropDown="0" showInputMessage="0" showErrorMessage="0" allowBlank="1" type="list" errorStyle="stop" operator="between">
      <formula1>"Pendiente,Conforme,No conforme,Bloqueado"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6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17" min="1" max="1"/>
    <col width="14" customWidth="1" style="17" min="2" max="5"/>
    <col width="60" customWidth="1" style="17" min="6" max="6"/>
  </cols>
  <sheetData>
    <row r="1" ht="19.7" customHeight="1" s="18">
      <c r="A1" s="23" t="inlineStr">
        <is>
          <t>Resumen y cobertura del Plan de Pruebas</t>
        </is>
      </c>
    </row>
    <row r="3" ht="16.15" customHeight="1" s="18">
      <c r="A3" s="24" t="inlineStr">
        <is>
          <t>1. Resumen por módulo</t>
        </is>
      </c>
    </row>
    <row r="4" ht="25.5" customHeight="1" s="18">
      <c r="A4" s="25" t="inlineStr">
        <is>
          <t>Módulo</t>
        </is>
      </c>
      <c r="B4" s="25" t="inlineStr">
        <is>
          <t>N.º de casos</t>
        </is>
      </c>
      <c r="C4" s="25" t="inlineStr">
        <is>
          <t>Prioridad alta</t>
        </is>
      </c>
      <c r="D4" s="25" t="inlineStr">
        <is>
          <t>Ejecutados (conforme)</t>
        </is>
      </c>
      <c r="E4" s="25" t="inlineStr">
        <is>
          <t>% avance</t>
        </is>
      </c>
    </row>
    <row r="5" ht="15" customHeight="1" s="18">
      <c r="A5" s="21" t="inlineStr">
        <is>
          <t>A. Sitio corporativo</t>
        </is>
      </c>
      <c r="B5" s="22">
        <f>COUNTIF('Casos de Prueba'!$B$2:$B$78,$A5)</f>
        <v/>
      </c>
      <c r="C5" s="22">
        <f>COUNTIFS('Casos de Prueba'!$B$2:$B$78,$A5,'Casos de Prueba'!$I$2:$I$78,"Alta")</f>
        <v/>
      </c>
      <c r="D5" s="22">
        <f>COUNTIFS('Casos de Prueba'!$B$2:$B$78,$A5,'Casos de Prueba'!$J$2:$J$78,"Conforme")</f>
        <v/>
      </c>
      <c r="E5" s="26">
        <f>IFERROR(D5/B5,0)</f>
        <v/>
      </c>
    </row>
    <row r="6" ht="15" customHeight="1" s="18">
      <c r="A6" s="21" t="inlineStr">
        <is>
          <t>B. Autenticación y acceso</t>
        </is>
      </c>
      <c r="B6" s="22">
        <f>COUNTIF('Casos de Prueba'!$B$2:$B$78,$A6)</f>
        <v/>
      </c>
      <c r="C6" s="22">
        <f>COUNTIFS('Casos de Prueba'!$B$2:$B$78,$A6,'Casos de Prueba'!$I$2:$I$78,"Alta")</f>
        <v/>
      </c>
      <c r="D6" s="22">
        <f>COUNTIFS('Casos de Prueba'!$B$2:$B$78,$A6,'Casos de Prueba'!$J$2:$J$78,"Conforme")</f>
        <v/>
      </c>
      <c r="E6" s="26">
        <f>IFERROR(D6/B6,0)</f>
        <v/>
      </c>
    </row>
    <row r="7" ht="15" customHeight="1" s="18">
      <c r="A7" s="21" t="inlineStr">
        <is>
          <t>C. Gestión comercial</t>
        </is>
      </c>
      <c r="B7" s="22">
        <f>COUNTIF('Casos de Prueba'!$B$2:$B$78,$A7)</f>
        <v/>
      </c>
      <c r="C7" s="22">
        <f>COUNTIFS('Casos de Prueba'!$B$2:$B$78,$A7,'Casos de Prueba'!$I$2:$I$78,"Alta")</f>
        <v/>
      </c>
      <c r="D7" s="22">
        <f>COUNTIFS('Casos de Prueba'!$B$2:$B$78,$A7,'Casos de Prueba'!$J$2:$J$78,"Conforme")</f>
        <v/>
      </c>
      <c r="E7" s="26">
        <f>IFERROR(D7/B7,0)</f>
        <v/>
      </c>
    </row>
    <row r="8" ht="15" customHeight="1" s="18">
      <c r="A8" s="21" t="inlineStr">
        <is>
          <t>D. Portal de clientes</t>
        </is>
      </c>
      <c r="B8" s="22">
        <f>COUNTIF('Casos de Prueba'!$B$2:$B$78,$A8)</f>
        <v/>
      </c>
      <c r="C8" s="22">
        <f>COUNTIFS('Casos de Prueba'!$B$2:$B$78,$A8,'Casos de Prueba'!$I$2:$I$78,"Alta")</f>
        <v/>
      </c>
      <c r="D8" s="22">
        <f>COUNTIFS('Casos de Prueba'!$B$2:$B$78,$A8,'Casos de Prueba'!$J$2:$J$78,"Conforme")</f>
        <v/>
      </c>
      <c r="E8" s="26">
        <f>IFERROR(D8/B8,0)</f>
        <v/>
      </c>
    </row>
    <row r="9" ht="15" customHeight="1" s="18">
      <c r="A9" s="21" t="inlineStr">
        <is>
          <t>E. Métricas y dashboards</t>
        </is>
      </c>
      <c r="B9" s="22">
        <f>COUNTIF('Casos de Prueba'!$B$2:$B$78,$A9)</f>
        <v/>
      </c>
      <c r="C9" s="22">
        <f>COUNTIFS('Casos de Prueba'!$B$2:$B$78,$A9,'Casos de Prueba'!$I$2:$I$78,"Alta")</f>
        <v/>
      </c>
      <c r="D9" s="22">
        <f>COUNTIFS('Casos de Prueba'!$B$2:$B$78,$A9,'Casos de Prueba'!$J$2:$J$78,"Conforme")</f>
        <v/>
      </c>
      <c r="E9" s="26">
        <f>IFERROR(D9/B9,0)</f>
        <v/>
      </c>
    </row>
    <row r="10" ht="15" customHeight="1" s="18">
      <c r="A10" s="21" t="inlineStr">
        <is>
          <t>F. Funciones de IA</t>
        </is>
      </c>
      <c r="B10" s="22">
        <f>COUNTIF('Casos de Prueba'!$B$2:$B$78,$A10)</f>
        <v/>
      </c>
      <c r="C10" s="22">
        <f>COUNTIFS('Casos de Prueba'!$B$2:$B$78,$A10,'Casos de Prueba'!$I$2:$I$78,"Alta")</f>
        <v/>
      </c>
      <c r="D10" s="22">
        <f>COUNTIFS('Casos de Prueba'!$B$2:$B$78,$A10,'Casos de Prueba'!$J$2:$J$78,"Conforme")</f>
        <v/>
      </c>
      <c r="E10" s="26">
        <f>IFERROR(D10/B10,0)</f>
        <v/>
      </c>
    </row>
    <row r="11" ht="15" customHeight="1" s="18">
      <c r="A11" s="21" t="inlineStr">
        <is>
          <t>G. Notificaciones y correo</t>
        </is>
      </c>
      <c r="B11" s="22">
        <f>COUNTIF('Casos de Prueba'!$B$2:$B$78,$A11)</f>
        <v/>
      </c>
      <c r="C11" s="22">
        <f>COUNTIFS('Casos de Prueba'!$B$2:$B$78,$A11,'Casos de Prueba'!$I$2:$I$78,"Alta")</f>
        <v/>
      </c>
      <c r="D11" s="22">
        <f>COUNTIFS('Casos de Prueba'!$B$2:$B$78,$A11,'Casos de Prueba'!$J$2:$J$78,"Conforme")</f>
        <v/>
      </c>
      <c r="E11" s="26">
        <f>IFERROR(D11/B11,0)</f>
        <v/>
      </c>
    </row>
    <row r="12" ht="15" customHeight="1" s="18">
      <c r="A12" s="21" t="inlineStr">
        <is>
          <t>H. Pruebas no funcionales</t>
        </is>
      </c>
      <c r="B12" s="22">
        <f>COUNTIF('Casos de Prueba'!$B$2:$B$78,$A12)</f>
        <v/>
      </c>
      <c r="C12" s="22">
        <f>COUNTIFS('Casos de Prueba'!$B$2:$B$78,$A12,'Casos de Prueba'!$I$2:$I$78,"Alta")</f>
        <v/>
      </c>
      <c r="D12" s="22">
        <f>COUNTIFS('Casos de Prueba'!$B$2:$B$78,$A12,'Casos de Prueba'!$J$2:$J$78,"Conforme")</f>
        <v/>
      </c>
      <c r="E12" s="26">
        <f>IFERROR(D12/B12,0)</f>
        <v/>
      </c>
    </row>
    <row r="13" ht="15" customHeight="1" s="18">
      <c r="A13" s="27" t="inlineStr">
        <is>
          <t>Total</t>
        </is>
      </c>
      <c r="B13" s="20">
        <f>COUNTIF('Casos de Prueba'!$B$2:$B$78,$A13)</f>
        <v/>
      </c>
      <c r="C13" s="20">
        <f>COUNTIFS('Casos de Prueba'!$B$2:$B$78,$A13,'Casos de Prueba'!$I$2:$I$78,"Alta")</f>
        <v/>
      </c>
      <c r="D13" s="20">
        <f>COUNTIFS('Casos de Prueba'!$B$2:$B$78,$A13,'Casos de Prueba'!$J$2:$J$78,"Conforme")</f>
        <v/>
      </c>
      <c r="E13" s="28">
        <f>IFERROR(D13/B13,0)</f>
        <v/>
      </c>
    </row>
    <row r="15" ht="16.15" customHeight="1" s="18">
      <c r="A15" s="24" t="inlineStr">
        <is>
          <t>2. Resumen por tipo de prueba</t>
        </is>
      </c>
    </row>
    <row r="16" ht="25.5" customHeight="1" s="18">
      <c r="A16" s="25" t="inlineStr">
        <is>
          <t>Tipo</t>
        </is>
      </c>
      <c r="B16" s="25" t="inlineStr">
        <is>
          <t>N.º de casos</t>
        </is>
      </c>
      <c r="C16" s="25" t="inlineStr">
        <is>
          <t>Ejecutados (conforme)</t>
        </is>
      </c>
      <c r="D16" s="25" t="inlineStr">
        <is>
          <t>% avance</t>
        </is>
      </c>
      <c r="E16" s="25" t="n"/>
      <c r="F16" s="25" t="n"/>
    </row>
    <row r="17" ht="15" customHeight="1" s="18">
      <c r="A17" s="21" t="inlineStr">
        <is>
          <t>Funcional</t>
        </is>
      </c>
      <c r="B17" s="22">
        <f>COUNTIF('Casos de Prueba'!$H$2:$H$78,$A17)</f>
        <v/>
      </c>
      <c r="C17" s="22">
        <f>COUNTIFS('Casos de Prueba'!$H$2:$H$78,$A17,'Casos de Prueba'!$J$2:$J$78,"Conforme")</f>
        <v/>
      </c>
      <c r="D17" s="26">
        <f>IFERROR(C17/B17,0)</f>
        <v/>
      </c>
    </row>
    <row r="18" ht="15" customHeight="1" s="18">
      <c r="A18" s="21" t="inlineStr">
        <is>
          <t>Seguridad</t>
        </is>
      </c>
      <c r="B18" s="22">
        <f>COUNTIF('Casos de Prueba'!$H$2:$H$78,$A18)</f>
        <v/>
      </c>
      <c r="C18" s="22">
        <f>COUNTIFS('Casos de Prueba'!$H$2:$H$78,$A18,'Casos de Prueba'!$J$2:$J$78,"Conforme")</f>
        <v/>
      </c>
      <c r="D18" s="26">
        <f>IFERROR(C18/B18,0)</f>
        <v/>
      </c>
    </row>
    <row r="19" ht="15" customHeight="1" s="18">
      <c r="A19" s="21" t="inlineStr">
        <is>
          <t>Usabilidad</t>
        </is>
      </c>
      <c r="B19" s="22">
        <f>COUNTIF('Casos de Prueba'!$H$2:$H$78,$A19)</f>
        <v/>
      </c>
      <c r="C19" s="22">
        <f>COUNTIFS('Casos de Prueba'!$H$2:$H$78,$A19,'Casos de Prueba'!$J$2:$J$78,"Conforme")</f>
        <v/>
      </c>
      <c r="D19" s="26">
        <f>IFERROR(C19/B19,0)</f>
        <v/>
      </c>
    </row>
    <row r="20" ht="15" customHeight="1" s="18">
      <c r="A20" s="21" t="inlineStr">
        <is>
          <t>Compatibilidad</t>
        </is>
      </c>
      <c r="B20" s="22">
        <f>COUNTIF('Casos de Prueba'!$H$2:$H$78,$A20)</f>
        <v/>
      </c>
      <c r="C20" s="22">
        <f>COUNTIFS('Casos de Prueba'!$H$2:$H$78,$A20,'Casos de Prueba'!$J$2:$J$78,"Conforme")</f>
        <v/>
      </c>
      <c r="D20" s="26">
        <f>IFERROR(C20/B20,0)</f>
        <v/>
      </c>
    </row>
    <row r="21" ht="15" customHeight="1" s="18">
      <c r="A21" s="21" t="inlineStr">
        <is>
          <t>Rendimiento</t>
        </is>
      </c>
      <c r="B21" s="22">
        <f>COUNTIF('Casos de Prueba'!$H$2:$H$78,$A21)</f>
        <v/>
      </c>
      <c r="C21" s="22">
        <f>COUNTIFS('Casos de Prueba'!$H$2:$H$78,$A21,'Casos de Prueba'!$J$2:$J$78,"Conforme")</f>
        <v/>
      </c>
      <c r="D21" s="26">
        <f>IFERROR(C21/B21,0)</f>
        <v/>
      </c>
    </row>
    <row r="22" ht="15" customHeight="1" s="18">
      <c r="A22" s="21" t="inlineStr">
        <is>
          <t>Recuperación</t>
        </is>
      </c>
      <c r="B22" s="22">
        <f>COUNTIF('Casos de Prueba'!$H$2:$H$78,$A22)</f>
        <v/>
      </c>
      <c r="C22" s="22">
        <f>COUNTIFS('Casos de Prueba'!$H$2:$H$78,$A22,'Casos de Prueba'!$J$2:$J$78,"Conforme")</f>
        <v/>
      </c>
      <c r="D22" s="26">
        <f>IFERROR(C22/B22,0)</f>
        <v/>
      </c>
    </row>
    <row r="24" ht="16.15" customHeight="1" s="18">
      <c r="A24" s="24" t="inlineStr">
        <is>
          <t>3. Resumen por prioridad</t>
        </is>
      </c>
    </row>
    <row r="25" ht="25.5" customHeight="1" s="18">
      <c r="A25" s="25" t="inlineStr">
        <is>
          <t>Prioridad</t>
        </is>
      </c>
      <c r="B25" s="25" t="inlineStr">
        <is>
          <t>N.º de casos</t>
        </is>
      </c>
      <c r="C25" s="25" t="inlineStr">
        <is>
          <t>Ejecutados (conforme)</t>
        </is>
      </c>
      <c r="D25" s="25" t="inlineStr">
        <is>
          <t>% avance</t>
        </is>
      </c>
      <c r="E25" s="25" t="n"/>
      <c r="F25" s="25" t="n"/>
    </row>
    <row r="26" ht="15" customHeight="1" s="18">
      <c r="A26" s="21" t="inlineStr">
        <is>
          <t>Alta</t>
        </is>
      </c>
      <c r="B26" s="22">
        <f>COUNTIF('Casos de Prueba'!$I$2:$I$78,$A26)</f>
        <v/>
      </c>
      <c r="C26" s="22">
        <f>COUNTIFS('Casos de Prueba'!$I$2:$I$78,$A26,'Casos de Prueba'!$J$2:$J$78,"Conforme")</f>
        <v/>
      </c>
      <c r="D26" s="26">
        <f>IFERROR(C26/B26,0)</f>
        <v/>
      </c>
    </row>
    <row r="27" ht="15" customHeight="1" s="18">
      <c r="A27" s="21" t="inlineStr">
        <is>
          <t>Media</t>
        </is>
      </c>
      <c r="B27" s="22">
        <f>COUNTIF('Casos de Prueba'!$I$2:$I$78,$A27)</f>
        <v/>
      </c>
      <c r="C27" s="22">
        <f>COUNTIFS('Casos de Prueba'!$I$2:$I$78,$A27,'Casos de Prueba'!$J$2:$J$78,"Conforme")</f>
        <v/>
      </c>
      <c r="D27" s="26">
        <f>IFERROR(C27/B27,0)</f>
        <v/>
      </c>
    </row>
    <row r="28" ht="15" customHeight="1" s="18">
      <c r="A28" s="21" t="inlineStr">
        <is>
          <t>Baja</t>
        </is>
      </c>
      <c r="B28" s="22">
        <f>COUNTIF('Casos de Prueba'!$I$2:$I$78,$A28)</f>
        <v/>
      </c>
      <c r="C28" s="22">
        <f>COUNTIFS('Casos de Prueba'!$I$2:$I$78,$A28,'Casos de Prueba'!$J$2:$J$78,"Conforme")</f>
        <v/>
      </c>
      <c r="D28" s="26">
        <f>IFERROR(C28/B28,0)</f>
        <v/>
      </c>
    </row>
    <row r="30" ht="16.15" customHeight="1" s="18">
      <c r="A30" s="24" t="inlineStr">
        <is>
          <t>4. Resumen general de ejecución</t>
        </is>
      </c>
    </row>
    <row r="31" ht="25.5" customHeight="1" s="18">
      <c r="A31" s="25" t="inlineStr">
        <is>
          <t>Estado</t>
        </is>
      </c>
      <c r="B31" s="25" t="inlineStr">
        <is>
          <t>N.º de casos</t>
        </is>
      </c>
      <c r="C31" s="25" t="inlineStr">
        <is>
          <t>% del total</t>
        </is>
      </c>
      <c r="D31" s="25" t="n"/>
      <c r="E31" s="25" t="n"/>
    </row>
    <row r="32" ht="15" customHeight="1" s="18">
      <c r="A32" s="21" t="inlineStr">
        <is>
          <t>Pendiente</t>
        </is>
      </c>
      <c r="B32" s="22">
        <f>COUNTIF('Casos de Prueba'!$J$2:$J$78,$A32)</f>
        <v/>
      </c>
      <c r="C32" s="26">
        <f>IFERROR(B32/78,0)</f>
        <v/>
      </c>
    </row>
    <row r="33" ht="15" customHeight="1" s="18">
      <c r="A33" s="21" t="inlineStr">
        <is>
          <t>Conforme</t>
        </is>
      </c>
      <c r="B33" s="22">
        <f>COUNTIF('Casos de Prueba'!$J$2:$J$78,$A33)</f>
        <v/>
      </c>
      <c r="C33" s="26">
        <f>IFERROR(B33/78,0)</f>
        <v/>
      </c>
    </row>
    <row r="34" ht="15" customHeight="1" s="18">
      <c r="A34" s="21" t="inlineStr">
        <is>
          <t>No conforme</t>
        </is>
      </c>
      <c r="B34" s="22">
        <f>COUNTIF('Casos de Prueba'!$J$2:$J$78,$A34)</f>
        <v/>
      </c>
      <c r="C34" s="26">
        <f>IFERROR(B34/78,0)</f>
        <v/>
      </c>
    </row>
    <row r="35" ht="15" customHeight="1" s="18">
      <c r="A35" s="21" t="inlineStr">
        <is>
          <t>Bloqueado</t>
        </is>
      </c>
      <c r="B35" s="22">
        <f>COUNTIF('Casos de Prueba'!$J$2:$J$78,$A35)</f>
        <v/>
      </c>
      <c r="C35" s="26">
        <f>IFERROR(B35/78,0)</f>
        <v/>
      </c>
    </row>
    <row r="38" ht="16.15" customHeight="1" s="18">
      <c r="A38" s="24" t="inlineStr">
        <is>
          <t>5. Matriz de trazabilidad (requerimiento → casos de prueba)</t>
        </is>
      </c>
    </row>
    <row r="39" ht="25.5" customHeight="1" s="18">
      <c r="A39" s="25" t="inlineStr">
        <is>
          <t>Requerimiento</t>
        </is>
      </c>
      <c r="B39" s="25" t="inlineStr">
        <is>
          <t>Descripción</t>
        </is>
      </c>
      <c r="C39" s="25" t="inlineStr">
        <is>
          <t>Casos de prueba asociados</t>
        </is>
      </c>
      <c r="D39" s="25" t="inlineStr">
        <is>
          <t>Cobertura</t>
        </is>
      </c>
      <c r="E39" s="25" t="n"/>
      <c r="F39" s="25" t="n"/>
    </row>
    <row r="40" ht="57.45" customHeight="1" s="18">
      <c r="A40" s="29" t="inlineStr">
        <is>
          <t>RF-01</t>
        </is>
      </c>
      <c r="B40" s="21" t="inlineStr">
        <is>
          <t>Sitio corporativo con gestor de contenidos y posicionamiento.</t>
        </is>
      </c>
      <c r="C40" s="21" t="inlineStr">
        <is>
          <t>CP-001, CP-005, CP-006, CP-009, CP-010</t>
        </is>
      </c>
      <c r="D40" s="30" t="inlineStr">
        <is>
          <t>Cubierto</t>
        </is>
      </c>
    </row>
    <row r="41" ht="46.25" customHeight="1" s="18">
      <c r="A41" s="29" t="inlineStr">
        <is>
          <t>RF-02</t>
        </is>
      </c>
      <c r="B41" s="21" t="inlineStr">
        <is>
          <t>Captura de prospectos desde el sitio público.</t>
        </is>
      </c>
      <c r="C41" s="21" t="inlineStr">
        <is>
          <t>CP-002, CP-003, CP-004, CP-023</t>
        </is>
      </c>
      <c r="D41" s="30" t="inlineStr">
        <is>
          <t>Cubierto</t>
        </is>
      </c>
    </row>
    <row r="42" ht="35.05" customHeight="1" s="18">
      <c r="A42" s="29" t="inlineStr">
        <is>
          <t>RF-03</t>
        </is>
      </c>
      <c r="B42" s="21" t="inlineStr">
        <is>
          <t>Gestión y seguimiento de prospectos.</t>
        </is>
      </c>
      <c r="C42" s="21" t="inlineStr">
        <is>
          <t>CP-023 a CP-029</t>
        </is>
      </c>
      <c r="D42" s="30" t="inlineStr">
        <is>
          <t>Cubierto</t>
        </is>
      </c>
    </row>
    <row r="43" ht="46.25" customHeight="1" s="18">
      <c r="A43" s="29" t="inlineStr">
        <is>
          <t>RF-04</t>
        </is>
      </c>
      <c r="B43" s="21" t="inlineStr">
        <is>
          <t>Cotizador dinámico con cálculo automático.</t>
        </is>
      </c>
      <c r="C43" s="21" t="inlineStr">
        <is>
          <t>CP-030, CP-031, CP-032, CP-036</t>
        </is>
      </c>
      <c r="D43" s="30" t="inlineStr">
        <is>
          <t>Cubierto</t>
        </is>
      </c>
    </row>
    <row r="44" ht="46.25" customHeight="1" s="18">
      <c r="A44" s="29" t="inlineStr">
        <is>
          <t>RF-05</t>
        </is>
      </c>
      <c r="B44" s="21" t="inlineStr">
        <is>
          <t>Envío y seguimiento del estado de las cotizaciones.</t>
        </is>
      </c>
      <c r="C44" s="21" t="inlineStr">
        <is>
          <t>CP-033, CP-034, CP-063</t>
        </is>
      </c>
      <c r="D44" s="30" t="inlineStr">
        <is>
          <t>Cubierto</t>
        </is>
      </c>
    </row>
    <row r="45" ht="35.05" customHeight="1" s="18">
      <c r="A45" s="29" t="inlineStr">
        <is>
          <t>RF-06</t>
        </is>
      </c>
      <c r="B45" s="21" t="inlineStr">
        <is>
          <t>Conversión de prospecto a cliente.</t>
        </is>
      </c>
      <c r="C45" s="21" t="inlineStr">
        <is>
          <t>CP-035</t>
        </is>
      </c>
      <c r="D45" s="30" t="inlineStr">
        <is>
          <t>Cubierto</t>
        </is>
      </c>
    </row>
    <row r="46" ht="35.05" customHeight="1" s="18">
      <c r="A46" s="29" t="inlineStr">
        <is>
          <t>RF-07</t>
        </is>
      </c>
      <c r="B46" s="21" t="inlineStr">
        <is>
          <t>Calendario editorial por cliente.</t>
        </is>
      </c>
      <c r="C46" s="21" t="inlineStr">
        <is>
          <t>CP-038, CP-040, CP-049</t>
        </is>
      </c>
      <c r="D46" s="30" t="inlineStr">
        <is>
          <t>Cubierto</t>
        </is>
      </c>
    </row>
    <row r="47" ht="35.05" customHeight="1" s="18">
      <c r="A47" s="29" t="inlineStr">
        <is>
          <t>RF-08</t>
        </is>
      </c>
      <c r="B47" s="21" t="inlineStr">
        <is>
          <t>Flujo de aprobación de contenido.</t>
        </is>
      </c>
      <c r="C47" s="21" t="inlineStr">
        <is>
          <t>CP-041 a CP-045, CP-050</t>
        </is>
      </c>
      <c r="D47" s="30" t="inlineStr">
        <is>
          <t>Cubierto</t>
        </is>
      </c>
    </row>
    <row r="48" ht="35.05" customHeight="1" s="18">
      <c r="A48" s="29" t="inlineStr">
        <is>
          <t>RF-09</t>
        </is>
      </c>
      <c r="B48" s="21" t="inlineStr">
        <is>
          <t>Dashboard de métricas por cliente.</t>
        </is>
      </c>
      <c r="C48" s="21" t="inlineStr">
        <is>
          <t>CP-051, CP-052, CP-054, CP-055, CP-056</t>
        </is>
      </c>
      <c r="D48" s="30" t="inlineStr">
        <is>
          <t>Cubierto</t>
        </is>
      </c>
    </row>
    <row r="49" ht="46.25" customHeight="1" s="18">
      <c r="A49" s="29" t="inlineStr">
        <is>
          <t>RF-10</t>
        </is>
      </c>
      <c r="B49" s="21" t="inlineStr">
        <is>
          <t>Funciones asistidas por inteligencia artificial.</t>
        </is>
      </c>
      <c r="C49" s="21" t="inlineStr">
        <is>
          <t>CP-057 a CP-062</t>
        </is>
      </c>
      <c r="D49" s="30" t="inlineStr">
        <is>
          <t>Cubierto</t>
        </is>
      </c>
    </row>
    <row r="50" ht="46.25" customHeight="1" s="18">
      <c r="A50" s="29" t="inlineStr">
        <is>
          <t>RF-11</t>
        </is>
      </c>
      <c r="B50" s="21" t="inlineStr">
        <is>
          <t>Notificaciones por correo y dentro de la plataforma.</t>
        </is>
      </c>
      <c r="C50" s="21" t="inlineStr">
        <is>
          <t>CP-063 a CP-066</t>
        </is>
      </c>
      <c r="D50" s="30" t="inlineStr">
        <is>
          <t>Cubierto</t>
        </is>
      </c>
    </row>
    <row r="51" ht="35.05" customHeight="1" s="18">
      <c r="A51" s="29" t="inlineStr">
        <is>
          <t>RF-12</t>
        </is>
      </c>
      <c r="B51" s="21" t="inlineStr">
        <is>
          <t>Catálogo de planes y servicios administrable sin intervención en código.</t>
        </is>
      </c>
      <c r="C51" s="21" t="inlineStr">
        <is>
          <t>CP-071, CP-072</t>
        </is>
      </c>
      <c r="D51" s="30" t="inlineStr">
        <is>
          <t>Cubierto</t>
        </is>
      </c>
    </row>
    <row r="52" ht="35.05" customHeight="1" s="18">
      <c r="A52" s="29" t="inlineStr">
        <is>
          <t>RF-13</t>
        </is>
      </c>
      <c r="B52" s="21" t="inlineStr">
        <is>
          <t>Ficha del cliente con contrato, directrices de marca, objetivos, KPIs y documentos.</t>
        </is>
      </c>
      <c r="C52" s="21" t="inlineStr">
        <is>
          <t>CP-073</t>
        </is>
      </c>
      <c r="D52" s="30" t="inlineStr">
        <is>
          <t>Cubierto</t>
        </is>
      </c>
    </row>
    <row r="53" ht="46.25" customHeight="1" s="18">
      <c r="A53" s="29" t="inlineStr">
        <is>
          <t>RF-14</t>
        </is>
      </c>
      <c r="B53" s="21" t="inlineStr">
        <is>
          <t>Control del cumplimiento del plan contratado (vista agencia y vista cliente).</t>
        </is>
      </c>
      <c r="C53" s="21" t="inlineStr">
        <is>
          <t>CP-074, CP-075</t>
        </is>
      </c>
      <c r="D53" s="30" t="inlineStr">
        <is>
          <t>Cubierto</t>
        </is>
      </c>
    </row>
    <row r="54" ht="35.05" customHeight="1" s="18">
      <c r="A54" s="29" t="inlineStr">
        <is>
          <t>RF-15</t>
        </is>
      </c>
      <c r="B54" s="21" t="inlineStr">
        <is>
          <t>Portal del cliente con solicitudes y archivos.</t>
        </is>
      </c>
      <c r="C54" s="21" t="inlineStr">
        <is>
          <t>CP-076, CP-077</t>
        </is>
      </c>
      <c r="D54" s="30" t="inlineStr">
        <is>
          <t>Cubierto</t>
        </is>
      </c>
    </row>
    <row r="55" ht="35.05" customHeight="1" s="18">
      <c r="A55" s="29" t="inlineStr">
        <is>
          <t>RNF-01</t>
        </is>
      </c>
      <c r="B55" s="21" t="inlineStr">
        <is>
          <t>Autenticación y control de acceso por rol.</t>
        </is>
      </c>
      <c r="C55" s="21" t="inlineStr">
        <is>
          <t>CP-011 a CP-019, CP-022</t>
        </is>
      </c>
      <c r="D55" s="30" t="inlineStr">
        <is>
          <t>Cubierto</t>
        </is>
      </c>
    </row>
    <row r="56" ht="46.25" customHeight="1" s="18">
      <c r="A56" s="29" t="inlineStr">
        <is>
          <t>RNF-02</t>
        </is>
      </c>
      <c r="B56" s="21" t="inlineStr">
        <is>
          <t>Aislamiento de datos entre clientes.</t>
        </is>
      </c>
      <c r="C56" s="21" t="inlineStr">
        <is>
          <t>CP-020, CP-021, CP-039, CP-053</t>
        </is>
      </c>
      <c r="D56" s="30" t="inlineStr">
        <is>
          <t>Cubierto</t>
        </is>
      </c>
    </row>
    <row r="57">
      <c r="A57" s="29" t="inlineStr">
        <is>
          <t>RNF-03</t>
        </is>
      </c>
      <c r="B57" s="21" t="inlineStr">
        <is>
          <t>Validación de entradas y carga segura de archivos.</t>
        </is>
      </c>
      <c r="C57" s="21" t="inlineStr">
        <is>
          <t>CP-008, CP-047, CP-048</t>
        </is>
      </c>
      <c r="D57" s="30" t="inlineStr">
        <is>
          <t>Cubierto</t>
        </is>
      </c>
    </row>
    <row r="58" ht="16.15" customHeight="1" s="18">
      <c r="A58" s="29" t="inlineStr">
        <is>
          <t>RNF-04</t>
        </is>
      </c>
      <c r="B58" s="21" t="inlineStr">
        <is>
          <t>Diseño responsivo y compatibilidad.</t>
        </is>
      </c>
      <c r="C58" s="21" t="inlineStr">
        <is>
          <t>CP-010, CP-068</t>
        </is>
      </c>
      <c r="D58" s="30" t="inlineStr">
        <is>
          <t>Cubierto</t>
        </is>
      </c>
    </row>
    <row r="59" ht="25.5" customHeight="1" s="18">
      <c r="A59" s="29" t="inlineStr">
        <is>
          <t>RNF-05</t>
        </is>
      </c>
      <c r="B59" s="21" t="inlineStr">
        <is>
          <t>Rendimiento de las vistas críticas.</t>
        </is>
      </c>
      <c r="C59" s="21" t="inlineStr">
        <is>
          <t>CP-067</t>
        </is>
      </c>
      <c r="D59" s="30" t="inlineStr">
        <is>
          <t>Cubierto</t>
        </is>
      </c>
    </row>
    <row r="60" ht="79.84999999999999" customHeight="1" s="18">
      <c r="A60" s="29" t="inlineStr">
        <is>
          <t>RNF-06</t>
        </is>
      </c>
      <c r="B60" s="21" t="inlineStr">
        <is>
          <t>Respaldo, restauración y reversión de despliegues.</t>
        </is>
      </c>
      <c r="C60" s="21" t="inlineStr">
        <is>
          <t>CP-069, CP-070</t>
        </is>
      </c>
      <c r="D60" s="30" t="inlineStr">
        <is>
          <t>Cubierto</t>
        </is>
      </c>
    </row>
    <row r="61" ht="91" customHeight="1" s="18"/>
    <row r="62" ht="113.4" customHeight="1" s="18">
      <c r="A62" s="24" t="inlineStr">
        <is>
          <t>6. Riesgos que afectan al proceso de pruebas (Planilla de riesgos)</t>
        </is>
      </c>
    </row>
    <row r="63" ht="57.45" customHeight="1" s="18">
      <c r="A63" s="25" t="inlineStr">
        <is>
          <t>ID</t>
        </is>
      </c>
      <c r="B63" s="25" t="inlineStr">
        <is>
          <t>Riesgo</t>
        </is>
      </c>
      <c r="C63" s="25" t="inlineStr">
        <is>
          <t>Medida adoptada en este plan</t>
        </is>
      </c>
      <c r="D63" s="25" t="n"/>
      <c r="E63" s="25" t="n"/>
    </row>
    <row r="64">
      <c r="A64" s="29" t="inlineStr">
        <is>
          <t>R-61</t>
        </is>
      </c>
      <c r="B64" s="21" t="inlineStr">
        <is>
          <t>Pruebas insuficientes por concentrarse al final del proyecto.</t>
        </is>
      </c>
      <c r="C64" s="21" t="inlineStr">
        <is>
          <t>Ejecución distribuida por sprint, con criterio de salida obligatorio antes de cerrar cada uno.</t>
        </is>
      </c>
    </row>
    <row r="65">
      <c r="A65" s="29" t="inlineStr">
        <is>
          <t>R-62</t>
        </is>
      </c>
      <c r="B65" s="21" t="inlineStr">
        <is>
          <t>Ausencia de datos de prueba realistas.</t>
        </is>
      </c>
      <c r="C65" s="21" t="inlineStr">
        <is>
          <t>Conjunto de datos definido en la hoja "Alcance y Criterios", con volúmenes y casos límite representativos.</t>
        </is>
      </c>
    </row>
    <row r="66">
      <c r="A66" s="29" t="inlineStr">
        <is>
          <t>R-32</t>
        </is>
      </c>
      <c r="B66" s="21" t="inlineStr">
        <is>
          <t>Fallo de aislamiento de datos entre clientes.</t>
        </is>
      </c>
      <c r="C66" s="21" t="inlineStr">
        <is>
          <t>Casos de prueba específicos (CP-020, CP-021, CP-039, CP-053) y criterio de suspensión de la ejecución ante cualquier hallazgo.</t>
        </is>
      </c>
    </row>
    <row r="67">
      <c r="A67" s="29" t="inlineStr">
        <is>
          <t>R-63</t>
        </is>
      </c>
      <c r="B67" s="21" t="inlineStr">
        <is>
          <t>Falla durante la presentación final por falta de ensayo.</t>
        </is>
      </c>
      <c r="C67" s="21" t="inlineStr">
        <is>
          <t>Ensayo del guion de demostración incorporado al Sprint 5.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2026-09-24T01:56:45Z</dcterms:created>
  <dcterms:modified xsi:type="dcterms:W3CDTF">2026-10-19T16:43:28Z</dcterms:modified>
  <cp:revision>0</cp:revision>
</cp:coreProperties>
</file>