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404040"/>
      <sz val="9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4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R2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5" topLeftCell="A6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38" customWidth="1" style="17" min="2" max="2"/>
    <col width="11" customWidth="1" style="17" min="3" max="3"/>
    <col width="10" customWidth="1" style="17" min="4" max="4"/>
    <col width="30" customWidth="1" style="17" min="5" max="6"/>
    <col width="44" customWidth="1" style="18" min="6" max="6"/>
    <col width="15" customWidth="1" style="17" min="7" max="7"/>
    <col width="13" customWidth="1" style="17" min="8" max="8"/>
  </cols>
  <sheetData>
    <row r="1" ht="25.5" customHeight="1" s="18">
      <c r="A1" s="19" t="inlineStr">
        <is>
          <t>SPRINT BACKLOG — SPRINT 2 · Gestión comercial</t>
        </is>
      </c>
    </row>
    <row r="2" ht="15" customHeight="1" s="18">
      <c r="A2" s="20" t="inlineStr">
        <is>
          <t>Período: 5 de octubre — 23 de octubre de 2026 (propuesto según Carta Gantt S9–S11; por confirmar)  |  Estado al 5 de octubre de 2026 (según tablero Trello)</t>
        </is>
      </c>
    </row>
    <row r="3" s="18"/>
    <row r="4" ht="15" customHeight="1" s="18">
      <c r="A4" s="21" t="inlineStr">
        <is>
          <t>1. Historias de usuario comprometidas</t>
        </is>
      </c>
    </row>
    <row r="5" ht="23.85" customHeight="1" s="18">
      <c r="A5" s="22" t="inlineStr">
        <is>
          <t>ID</t>
        </is>
      </c>
      <c r="B5" s="22" t="inlineStr">
        <is>
          <t>Historia</t>
        </is>
      </c>
      <c r="C5" s="22" t="inlineStr">
        <is>
          <t>Story Points</t>
        </is>
      </c>
      <c r="D5" s="22" t="inlineStr">
        <is>
          <t>Prioridad</t>
        </is>
      </c>
      <c r="E5" s="22" t="inlineStr">
        <is>
          <t>Responsable</t>
        </is>
      </c>
      <c r="F5" s="22" t="inlineStr">
        <is>
          <t>Depende de</t>
        </is>
      </c>
      <c r="G5" s="22" t="inlineStr">
        <is>
          <t>Estado</t>
        </is>
      </c>
      <c r="H5" s="22" t="inlineStr">
        <is>
          <t>Fecha término</t>
        </is>
      </c>
    </row>
    <row r="6" ht="30" customHeight="1" s="18">
      <c r="A6" s="23" t="inlineStr">
        <is>
          <t>PC-AUT-04</t>
        </is>
      </c>
      <c r="B6" s="24" t="inlineStr">
        <is>
          <t>Colaboradora solo ve sus clientes</t>
        </is>
      </c>
      <c r="C6" s="25" t="n">
        <v>8</v>
      </c>
      <c r="D6" s="25" t="inlineStr">
        <is>
          <t>Alta</t>
        </is>
      </c>
      <c r="E6" s="26" t="inlineStr">
        <is>
          <t>Grupal (guía propuesto: Christian)</t>
        </is>
      </c>
      <c r="F6" s="24" t="inlineStr">
        <is>
          <t>Modelo BD (extensión), PC-AUT-03</t>
        </is>
      </c>
      <c r="G6" s="27" t="inlineStr">
        <is>
          <t>En revisión</t>
        </is>
      </c>
      <c r="H6" s="28" t="n"/>
    </row>
    <row r="7" ht="30" customHeight="1" s="18">
      <c r="A7" s="23" t="inlineStr">
        <is>
          <t>PC-AUT-05</t>
        </is>
      </c>
      <c r="B7" s="24" t="inlineStr">
        <is>
          <t>Cliente solo ve su empresa</t>
        </is>
      </c>
      <c r="C7" s="25" t="n">
        <v>8</v>
      </c>
      <c r="D7" s="25" t="inlineStr">
        <is>
          <t>Alta</t>
        </is>
      </c>
      <c r="E7" s="26" t="inlineStr">
        <is>
          <t>Grupal (guía por definir)</t>
        </is>
      </c>
      <c r="F7" s="24" t="inlineStr">
        <is>
          <t>Modelo BD (extensión), PC-AUT-03</t>
        </is>
      </c>
      <c r="G7" s="27" t="inlineStr">
        <is>
          <t>Por hacer</t>
        </is>
      </c>
      <c r="H7" s="28" t="n"/>
    </row>
    <row r="8" ht="30" customHeight="1" s="18">
      <c r="A8" s="23" t="inlineStr">
        <is>
          <t>PC-PRO-01</t>
        </is>
      </c>
      <c r="B8" s="24" t="inlineStr">
        <is>
          <t>Prospectos en lista y kanban</t>
        </is>
      </c>
      <c r="C8" s="25" t="n">
        <v>5</v>
      </c>
      <c r="D8" s="25" t="inlineStr">
        <is>
          <t>Alta</t>
        </is>
      </c>
      <c r="E8" s="26" t="inlineStr">
        <is>
          <t>Por definir</t>
        </is>
      </c>
      <c r="F8" s="24" t="inlineStr">
        <is>
          <t>PC-CAP-01</t>
        </is>
      </c>
      <c r="G8" s="27" t="inlineStr">
        <is>
          <t>Hecho</t>
        </is>
      </c>
      <c r="H8" s="28" t="n"/>
    </row>
    <row r="9" ht="30" customHeight="1" s="18">
      <c r="A9" s="23" t="inlineStr">
        <is>
          <t>PC-PRO-02</t>
        </is>
      </c>
      <c r="B9" s="24" t="inlineStr">
        <is>
          <t>Registro manual de prospecto</t>
        </is>
      </c>
      <c r="C9" s="25" t="n">
        <v>2</v>
      </c>
      <c r="D9" s="25" t="inlineStr">
        <is>
          <t>Media</t>
        </is>
      </c>
      <c r="E9" s="26" t="inlineStr">
        <is>
          <t>Por definir</t>
        </is>
      </c>
      <c r="F9" s="24" t="inlineStr">
        <is>
          <t>PC-CAP-01</t>
        </is>
      </c>
      <c r="G9" s="27" t="inlineStr">
        <is>
          <t>Hecho</t>
        </is>
      </c>
      <c r="H9" s="28" t="n"/>
    </row>
    <row r="10" ht="30" customHeight="1" s="18">
      <c r="A10" s="23" t="inlineStr">
        <is>
          <t>PC-COT-01</t>
        </is>
      </c>
      <c r="B10" s="24" t="inlineStr">
        <is>
          <t>Cotizador en línea</t>
        </is>
      </c>
      <c r="C10" s="25" t="n">
        <v>8</v>
      </c>
      <c r="D10" s="25" t="inlineStr">
        <is>
          <t>Alta</t>
        </is>
      </c>
      <c r="E10" s="26" t="inlineStr">
        <is>
          <t>Por definir</t>
        </is>
      </c>
      <c r="F10" s="24" t="inlineStr">
        <is>
          <t>PC-CAP-01, PC-CAT-01</t>
        </is>
      </c>
      <c r="G10" s="27" t="inlineStr">
        <is>
          <t>Por hacer</t>
        </is>
      </c>
      <c r="H10" s="28" t="n"/>
    </row>
    <row r="11" ht="30" customHeight="1" s="18">
      <c r="A11" s="23" t="inlineStr">
        <is>
          <t>PC-COT-02</t>
        </is>
      </c>
      <c r="B11" s="24" t="inlineStr">
        <is>
          <t>Revisión de la cotización</t>
        </is>
      </c>
      <c r="C11" s="25" t="n">
        <v>5</v>
      </c>
      <c r="D11" s="25" t="inlineStr">
        <is>
          <t>Alta</t>
        </is>
      </c>
      <c r="E11" s="26" t="inlineStr">
        <is>
          <t>Por definir</t>
        </is>
      </c>
      <c r="F11" s="24" t="inlineStr">
        <is>
          <t>PC-COT-01</t>
        </is>
      </c>
      <c r="G11" s="27" t="inlineStr">
        <is>
          <t>Por hacer</t>
        </is>
      </c>
      <c r="H11" s="28" t="n"/>
    </row>
    <row r="12" ht="30" customHeight="1" s="18">
      <c r="A12" s="23" t="inlineStr">
        <is>
          <t>PC-CLI-01</t>
        </is>
      </c>
      <c r="B12" s="24" t="inlineStr">
        <is>
          <t>Conversión a cliente</t>
        </is>
      </c>
      <c r="C12" s="25" t="n">
        <v>5</v>
      </c>
      <c r="D12" s="25" t="inlineStr">
        <is>
          <t>Alta</t>
        </is>
      </c>
      <c r="E12" s="26" t="inlineStr">
        <is>
          <t>Por definir</t>
        </is>
      </c>
      <c r="F12" s="24" t="inlineStr">
        <is>
          <t>PC-PRO-01, Modelo BD (extensión)</t>
        </is>
      </c>
      <c r="G12" s="27" t="inlineStr">
        <is>
          <t>En revisión</t>
        </is>
      </c>
      <c r="H12" s="28" t="n"/>
    </row>
    <row r="13" ht="30" customHeight="1" s="18">
      <c r="A13" s="23" t="inlineStr">
        <is>
          <t>PC-CLI-02</t>
        </is>
      </c>
      <c r="B13" s="24" t="inlineStr">
        <is>
          <t>Ficha del cliente</t>
        </is>
      </c>
      <c r="C13" s="25" t="n">
        <v>8</v>
      </c>
      <c r="D13" s="25" t="inlineStr">
        <is>
          <t>Alta</t>
        </is>
      </c>
      <c r="E13" s="26" t="inlineStr">
        <is>
          <t>Por definir</t>
        </is>
      </c>
      <c r="F13" s="24" t="inlineStr">
        <is>
          <t>PC-CLI-01, Modelo BD (extensión)</t>
        </is>
      </c>
      <c r="G13" s="27" t="inlineStr">
        <is>
          <t>Por hacer</t>
        </is>
      </c>
      <c r="H13" s="28" t="n"/>
    </row>
    <row r="14" ht="30" customHeight="1" s="18">
      <c r="A14" s="23" t="inlineStr">
        <is>
          <t>PC-TEC-04</t>
        </is>
      </c>
      <c r="B14" s="24" t="inlineStr">
        <is>
          <t>Suite de pruebas de aislamiento</t>
        </is>
      </c>
      <c r="C14" s="25" t="n">
        <v>8</v>
      </c>
      <c r="D14" s="25" t="inlineStr">
        <is>
          <t>Alta</t>
        </is>
      </c>
      <c r="E14" s="26" t="inlineStr">
        <is>
          <t>Grupal (guía por definir)</t>
        </is>
      </c>
      <c r="F14" s="24" t="inlineStr">
        <is>
          <t>PC-AUT-04, PC-AUT-05, PC-TEC-02</t>
        </is>
      </c>
      <c r="G14" s="27" t="inlineStr">
        <is>
          <t>Por hacer</t>
        </is>
      </c>
      <c r="H14" s="28" t="n"/>
    </row>
    <row r="15" ht="15" customHeight="1" s="18">
      <c r="A15" s="29" t="n"/>
      <c r="B15" s="29" t="inlineStr">
        <is>
          <t>TOTAL COMPROMETIDO</t>
        </is>
      </c>
      <c r="C15" s="30">
        <f>SUM(C6:C14)</f>
        <v/>
      </c>
      <c r="D15" s="29" t="n"/>
      <c r="E15" s="29" t="n"/>
      <c r="F15" s="29" t="n"/>
      <c r="G15" s="29" t="n"/>
      <c r="H15" s="29" t="n"/>
    </row>
    <row r="16" s="18"/>
    <row r="17" ht="15" customHeight="1" s="18">
      <c r="A17" s="21" t="inlineStr">
        <is>
          <t>2. Tareas del sprint (sin story points)</t>
        </is>
      </c>
    </row>
    <row r="18" ht="15" customHeight="1" s="18">
      <c r="A18" s="22" t="inlineStr">
        <is>
          <t>ID</t>
        </is>
      </c>
      <c r="B18" s="22" t="inlineStr">
        <is>
          <t>Tarea</t>
        </is>
      </c>
      <c r="C18" s="31" t="n"/>
      <c r="D18" s="32" t="n"/>
      <c r="E18" s="22" t="inlineStr">
        <is>
          <t>Responsable</t>
        </is>
      </c>
      <c r="F18" s="22" t="inlineStr">
        <is>
          <t>Observación</t>
        </is>
      </c>
      <c r="G18" s="22" t="inlineStr">
        <is>
          <t>Estado</t>
        </is>
      </c>
      <c r="H18" s="22" t="inlineStr">
        <is>
          <t>Fecha término</t>
        </is>
      </c>
    </row>
    <row r="19" ht="75" customHeight="1" s="18">
      <c r="A19" s="23" t="inlineStr">
        <is>
          <t>T-01</t>
        </is>
      </c>
      <c r="B19" s="24" t="inlineStr">
        <is>
          <t>Modelo de Base de Datos · extensión</t>
        </is>
      </c>
      <c r="C19" s="31" t="n"/>
      <c r="D19" s="32" t="n"/>
      <c r="E19" s="26" t="inlineStr">
        <is>
          <t>Por definir</t>
        </is>
      </c>
      <c r="F19" s="24" t="inlineStr">
        <is>
          <t>Cliente real, TenantModel en entidades del portal, selector de cliente activo (colaboradora) y modelo de content. Bloquea PC-AUT-04/05 y PC-CLI-01/02.</t>
        </is>
      </c>
      <c r="G19" s="27" t="inlineStr">
        <is>
          <t>Por hacer</t>
        </is>
      </c>
      <c r="H19" s="28" t="n"/>
    </row>
    <row r="20" ht="75" customHeight="1" s="18">
      <c r="A20" s="23" t="inlineStr">
        <is>
          <t>T-02</t>
        </is>
      </c>
      <c r="B20" s="24" t="inlineStr">
        <is>
          <t>PC-SEO-01b · Metadatos del CMS publicados en el sitio</t>
        </is>
      </c>
      <c r="C20" s="31" t="n"/>
      <c r="D20" s="32" t="n"/>
      <c r="E20" s="26" t="inlineStr">
        <is>
          <t>Por definir</t>
        </is>
      </c>
      <c r="F20" s="24" t="inlineStr">
        <is>
          <t>Enganche dinámico de título/descripción del CMS con el sitio. Extensión de PC-SEO-01 (cerrada en S1); sin puntos.</t>
        </is>
      </c>
      <c r="G20" s="27" t="inlineStr">
        <is>
          <t>Por hacer</t>
        </is>
      </c>
      <c r="H20" s="28" t="n"/>
    </row>
    <row r="21" ht="75" customHeight="1" s="18">
      <c r="A21" s="23" t="inlineStr">
        <is>
          <t>T-03</t>
        </is>
      </c>
      <c r="B21" s="24" t="inlineStr">
        <is>
          <t>MEJORA · Correcciones de la página (QA antes de producción)</t>
        </is>
      </c>
      <c r="C21" s="31" t="n"/>
      <c r="D21" s="32" t="n"/>
      <c r="E21" s="26" t="inlineStr">
        <is>
          <t>Equipo</t>
        </is>
      </c>
      <c r="F21" s="24" t="inlineStr">
        <is>
          <t>Checklist de 10 fallos en Trello (flechas, enlaces que caen en el admin de Django, usuarios sin rol, etc.). Sin puntos.</t>
        </is>
      </c>
      <c r="G21" s="27" t="inlineStr">
        <is>
          <t>Por hacer</t>
        </is>
      </c>
      <c r="H21" s="28" t="n"/>
    </row>
    <row r="22" ht="75" customHeight="1" s="18">
      <c r="A22" s="23" t="inlineStr">
        <is>
          <t>T-04</t>
        </is>
      </c>
      <c r="B22" s="24" t="inlineStr">
        <is>
          <t>MEJORA · Ajustes de identidad visual pedidos por la agencia</t>
        </is>
      </c>
      <c r="C22" s="31" t="n"/>
      <c r="D22" s="32" t="n"/>
      <c r="E22" s="26" t="inlineStr">
        <is>
          <t>Esteban (contacto) + equipo</t>
        </is>
      </c>
      <c r="F22" s="24" t="inlineStr">
        <is>
          <t>Origen: Sprint Review S1 (27 sep). Depende de que la agencia envíe frases y colores. Sin puntos.</t>
        </is>
      </c>
      <c r="G22" s="27" t="inlineStr">
        <is>
          <t>Por hacer</t>
        </is>
      </c>
      <c r="H22" s="28" t="n"/>
    </row>
    <row r="23" ht="75" customHeight="1" s="18">
      <c r="A23" s="23" t="inlineStr">
        <is>
          <t>T-05</t>
        </is>
      </c>
      <c r="B23" s="24" t="inlineStr">
        <is>
          <t>Documentación S2 (9 documentos, una tarjeta por documento en Trello)</t>
        </is>
      </c>
      <c r="C23" s="31" t="n"/>
      <c r="D23" s="32" t="n"/>
      <c r="E23" s="26" t="inlineStr">
        <is>
          <t>Felipe: Bloque A · Rotación B/C por confirmar</t>
        </is>
      </c>
      <c r="F23" s="24" t="inlineStr">
        <is>
          <t>Rotación de documentos pendiente de confirmar entre Christian y Esteban.</t>
        </is>
      </c>
      <c r="G23" s="27" t="inlineStr">
        <is>
          <t>Por hacer</t>
        </is>
      </c>
      <c r="H23" s="28" t="n"/>
    </row>
    <row r="24" s="18"/>
    <row r="25" ht="15" customHeight="1" s="18">
      <c r="A25" s="21" t="inlineStr">
        <is>
          <t>3. Resumen (se calcula solo)</t>
        </is>
      </c>
    </row>
    <row r="26" ht="15" customHeight="1" s="18">
      <c r="A26" s="33" t="inlineStr">
        <is>
          <t>Story points comprometidos</t>
        </is>
      </c>
      <c r="B26" s="32" t="n"/>
      <c r="C26" s="34">
        <f>SUM(C6:C14)</f>
        <v/>
      </c>
    </row>
    <row r="27" ht="15" customHeight="1" s="18">
      <c r="A27" s="33" t="inlineStr">
        <is>
          <t>Story points terminados (Hecho)</t>
        </is>
      </c>
      <c r="B27" s="32" t="n"/>
      <c r="C27" s="34">
        <f>SUMIF(G6:G14,"Hecho",C6:C14)</f>
        <v/>
      </c>
    </row>
    <row r="28" ht="15" customHeight="1" s="18">
      <c r="A28" s="33" t="inlineStr">
        <is>
          <t>Story points trasladados a S3</t>
        </is>
      </c>
      <c r="B28" s="32" t="n"/>
      <c r="C28" s="34">
        <f>SUMIF(G6:G14,"Trasladado a S3",C6:C14)</f>
        <v/>
      </c>
    </row>
    <row r="29" ht="15" customHeight="1" s="18">
      <c r="A29" s="33" t="inlineStr">
        <is>
          <t>% de avance (puntos)</t>
        </is>
      </c>
      <c r="B29" s="32" t="n"/>
      <c r="C29" s="35">
        <f>IF(C26=0,0,C27/C26)</f>
        <v/>
      </c>
    </row>
    <row r="30" ht="15" customHeight="1" s="18">
      <c r="A30" s="33" t="inlineStr">
        <is>
          <t>Historias por hacer</t>
        </is>
      </c>
      <c r="B30" s="32" t="n"/>
      <c r="C30" s="34">
        <f>COUNTIF(G6:G14,"Por hacer")</f>
        <v/>
      </c>
    </row>
    <row r="31" ht="15" customHeight="1" s="18">
      <c r="A31" s="33" t="inlineStr">
        <is>
          <t>Historias en proceso</t>
        </is>
      </c>
      <c r="B31" s="32" t="n"/>
      <c r="C31" s="34">
        <f>COUNTIF(G6:G14,"En proceso")</f>
        <v/>
      </c>
    </row>
    <row r="32" ht="15" customHeight="1" s="18">
      <c r="A32" s="33" t="inlineStr">
        <is>
          <t>Historias en revisión</t>
        </is>
      </c>
      <c r="B32" s="32" t="n"/>
      <c r="C32" s="34">
        <f>COUNTIF(G6:G14,"En revisión")</f>
        <v/>
      </c>
    </row>
    <row r="33" ht="15" customHeight="1" s="18">
      <c r="A33" s="33" t="inlineStr">
        <is>
          <t>Historias terminadas</t>
        </is>
      </c>
      <c r="B33" s="32" t="n"/>
      <c r="C33" s="34">
        <f>COUNTIF(G6:G14,"Hecho")</f>
        <v/>
      </c>
    </row>
    <row r="34" s="18"/>
    <row r="35" ht="15" customHeight="1" s="18">
      <c r="A35" s="36" t="inlineStr">
        <is>
          <t>Notas</t>
        </is>
      </c>
    </row>
    <row r="36" ht="15" customHeight="1" s="18">
      <c r="A36" s="38" t="inlineStr">
        <is>
          <t>• Cómo usar: rellena solo las celdas amarillas (Responsable, Estado y Fecha término). El resumen se recalcula solo.</t>
        </is>
      </c>
    </row>
    <row r="37" ht="15" customHeight="1" s="18">
      <c r="A37" s="38" t="inlineStr">
        <is>
          <t>• Estados: Por hacer · En proceso · En revisión · Hecho · Trasladado a S3 (mismos nombres que las listas de Trello).</t>
        </is>
      </c>
    </row>
    <row r="38" ht="15" customHeight="1" s="18">
      <c r="A38" s="38" t="inlineStr">
        <is>
          <t>• Una historia pasa a "Hecho" solo si cumple sus criterios de aceptación del Product Backlog.</t>
        </is>
      </c>
    </row>
    <row r="39" ht="28" customHeight="1" s="18">
      <c r="A39" s="38" t="inlineStr">
        <is>
          <t>• Fuente de historias y puntos: Product Backlog (Iteración = Sprint 2). Total: 57 pts. PC-TEC-03 (ambiente de pruebas en GCP, 5 pts) fue sacada del alcance por decisión del equipo y no se arrastra desde S1.</t>
        </is>
      </c>
    </row>
    <row r="40" ht="28" customHeight="1" s="18">
      <c r="A40" s="38" t="inlineStr">
        <is>
          <t>• Estado según Trello al 5 oct: PC-PRO-01 y PC-PRO-02 en Hecho; PC-CLI-01 y PC-AUT-04 en En revisión. PC-COT-01, PC-COT-02, PC-CLI-02, PC-AUT-05 y PC-TEC-04 aparecen en Por hacer en Trello aunque tienen avance construido en el código (pruebas automáticas en verde); pasan a En revisión/Hecho solo tras validarlas contra sus criterios de aceptación.</t>
        </is>
      </c>
    </row>
    <row r="41" ht="15" customHeight="1" s="18">
      <c r="A41" s="38" t="inlineStr">
        <is>
          <t>• Responsables "por definir" no están asignados todavía; confirmarlos en la planificación del sprint con el equipo.</t>
        </is>
      </c>
    </row>
    <row r="42" s="18"/>
    <row r="43" s="18"/>
    <row r="44" s="18"/>
    <row r="45" s="18"/>
    <row r="46" s="18"/>
    <row r="47" s="18"/>
    <row r="48" s="18"/>
    <row r="49" s="18"/>
    <row r="50" s="18"/>
    <row r="51" s="18"/>
    <row r="52" s="18"/>
    <row r="53" s="18"/>
    <row r="54" s="18"/>
    <row r="55" s="18"/>
    <row r="56" s="18"/>
    <row r="57" s="18"/>
    <row r="58" s="18"/>
    <row r="59" s="18"/>
    <row r="60" s="18"/>
    <row r="200"/>
  </sheetData>
  <mergeCells count="22">
    <mergeCell ref="A30:B30"/>
    <mergeCell ref="A39:H39"/>
    <mergeCell ref="B23:D23"/>
    <mergeCell ref="A36:H36"/>
    <mergeCell ref="A1:H1"/>
    <mergeCell ref="B19:D19"/>
    <mergeCell ref="A41:H41"/>
    <mergeCell ref="A37:H37"/>
    <mergeCell ref="A27:B27"/>
    <mergeCell ref="B20:D20"/>
    <mergeCell ref="A26:B26"/>
    <mergeCell ref="A33:B33"/>
    <mergeCell ref="A2:H2"/>
    <mergeCell ref="A32:B32"/>
    <mergeCell ref="A29:B29"/>
    <mergeCell ref="B22:D22"/>
    <mergeCell ref="A38:H38"/>
    <mergeCell ref="A28:B28"/>
    <mergeCell ref="B18:D18"/>
    <mergeCell ref="B21:D21"/>
    <mergeCell ref="A31:B31"/>
    <mergeCell ref="A40:H40"/>
  </mergeCells>
  <conditionalFormatting sqref="G6:G14">
    <cfRule type="cellIs" priority="11" operator="equal" dxfId="5">
      <formula>"Por hacer"</formula>
    </cfRule>
    <cfRule type="cellIs" priority="12" operator="equal" dxfId="6">
      <formula>"En proceso"</formula>
    </cfRule>
    <cfRule type="cellIs" priority="13" operator="equal" dxfId="7">
      <formula>"En revisión"</formula>
    </cfRule>
    <cfRule type="cellIs" priority="14" operator="equal" dxfId="8">
      <formula>"Hecho"</formula>
    </cfRule>
    <cfRule type="cellIs" priority="15" operator="equal" dxfId="9">
      <formula>"Trasladado a S3"</formula>
    </cfRule>
  </conditionalFormatting>
  <conditionalFormatting sqref="G19:G23">
    <cfRule type="cellIs" priority="16" operator="equal" dxfId="5">
      <formula>"Por hacer"</formula>
    </cfRule>
    <cfRule type="cellIs" priority="17" operator="equal" dxfId="6">
      <formula>"En proceso"</formula>
    </cfRule>
    <cfRule type="cellIs" priority="18" operator="equal" dxfId="7">
      <formula>"En revisión"</formula>
    </cfRule>
    <cfRule type="cellIs" priority="19" operator="equal" dxfId="8">
      <formula>"Hecho"</formula>
    </cfRule>
    <cfRule type="cellIs" priority="20" operator="equal" dxfId="9">
      <formula>"Trasladado a S3"</formula>
    </cfRule>
  </conditionalFormatting>
  <dataValidations count="1">
    <dataValidation sqref="G6:G14 G19:G23" showDropDown="0" showInputMessage="0" showErrorMessage="0" allowBlank="1" type="list">
      <formula1>"Por hacer,En proceso,En revisión,Hecho,Trasladado a S3"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2026-09-24T15:11:59Z</dcterms:created>
  <dcterms:modified xmlns:dcterms="http://purl.org/dc/terms/" xmlns:xsi="http://www.w3.org/2001/XMLSchema-instance" xsi:type="dcterms:W3CDTF">2026-10-05T16:38:56Z</dcterms:modified>
  <cp:revision>0</cp:revision>
</cp:coreProperties>
</file>