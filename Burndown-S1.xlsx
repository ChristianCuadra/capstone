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urndown S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\-mm\-yyyy"/>
    <numFmt numFmtId="165" formatCode="0.0;[RED]\-0.0;0"/>
    <numFmt numFmtId="166" formatCode="0.0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40404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1F4E78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1F4E78"/>
      <sz val="10"/>
    </font>
    <font>
      <name val="Arial"/>
      <charset val="1"/>
      <family val="0"/>
      <color rgb="FF404040"/>
      <sz val="9"/>
    </font>
    <font>
      <name val="Arial"/>
      <family val="2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9D9D9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left" vertical="center" wrapText="1"/>
    </xf>
    <xf numFmtId="1" fontId="14" fillId="0" borderId="1" applyAlignment="1" pivotButton="0" quotePrefix="0" xfId="0">
      <alignment horizontal="center" vertical="center" wrapText="1"/>
    </xf>
    <xf numFmtId="166" fontId="1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bottom"/>
    </xf>
    <xf numFmtId="0" fontId="9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1" fontId="14" fillId="0" borderId="1" applyAlignment="1" pivotButton="0" quotePrefix="0" xfId="0">
      <alignment horizontal="center" vertical="center" wrapText="1"/>
    </xf>
    <xf numFmtId="166" fontId="1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Burndown Sprint 1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'Burndown S1'!C5</f>
              <strCache>
                <ptCount val="1"/>
                <pt idx="0">
                  <v>Puntos restantes (ideal)</v>
                </pt>
              </strCache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w="28440">
              <a:solidFill>
                <a:srgbClr val="a6a6a6"/>
              </a:solidFill>
              <a:prstDash val="dash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'Burndown S1'!$A$6:$A$25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'Burndown S1'!$C$6:$C$25</f>
              <numCache>
                <formatCode>General</formatCode>
                <ptCount val="20"/>
                <pt idx="0">
                  <v>89</v>
                </pt>
                <pt idx="1">
                  <v>84.3</v>
                </pt>
                <pt idx="2">
                  <v>79.59999999999999</v>
                </pt>
                <pt idx="3">
                  <v>74.90000000000001</v>
                </pt>
                <pt idx="4">
                  <v>70.3</v>
                </pt>
                <pt idx="5">
                  <v>65.59999999999999</v>
                </pt>
                <pt idx="6">
                  <v>60.9</v>
                </pt>
                <pt idx="7">
                  <v>56.2</v>
                </pt>
                <pt idx="8">
                  <v>51.5</v>
                </pt>
                <pt idx="9">
                  <v>46.8</v>
                </pt>
                <pt idx="10">
                  <v>42.2</v>
                </pt>
                <pt idx="11">
                  <v>37.5</v>
                </pt>
                <pt idx="12">
                  <v>32.8</v>
                </pt>
                <pt idx="13">
                  <v>28.1</v>
                </pt>
                <pt idx="14">
                  <v>23.4</v>
                </pt>
                <pt idx="15">
                  <v>18.7</v>
                </pt>
                <pt idx="16">
                  <v>14.1</v>
                </pt>
                <pt idx="17">
                  <v>9.4</v>
                </pt>
                <pt idx="18">
                  <v>4.7</v>
                </pt>
                <pt idx="19">
                  <v>0</v>
                </pt>
              </numCache>
            </numRef>
          </val>
          <smooth val="1"/>
        </ser>
        <ser>
          <idx val="1"/>
          <order val="1"/>
          <tx>
            <strRef>
              <f>'Burndown S1'!D5</f>
              <strCache>
                <ptCount val="1"/>
                <pt idx="0">
                  <v>Puntos restantes (real)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8080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'Burndown S1'!$A$6:$A$25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'Burndown S1'!$D$6:$D$25</f>
              <numCache>
                <formatCode>General</formatCode>
                <ptCount val="20"/>
                <pt idx="0">
                  <v>89</v>
                </pt>
                <pt idx="1">
                  <v>89</v>
                </pt>
                <pt idx="2">
                  <v>89</v>
                </pt>
                <pt idx="3">
                  <v>89</v>
                </pt>
                <pt idx="4">
                  <v>89</v>
                </pt>
                <pt idx="5">
                  <v>89</v>
                </pt>
                <pt idx="6">
                  <v>89</v>
                </pt>
                <pt idx="7">
                  <v>89</v>
                </pt>
                <pt idx="8">
                  <v>89</v>
                </pt>
                <pt idx="9">
                  <v>89</v>
                </pt>
                <pt idx="10">
                  <v>89</v>
                </pt>
                <pt idx="11">
                  <v>89</v>
                </pt>
                <pt idx="12">
                  <v>89</v>
                </pt>
                <pt idx="13">
                  <v>89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29984606"/>
        <axId val="30211473"/>
      </lineChart>
      <catAx>
        <axId val="29984606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Día del sprint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0211473"/>
        <crosses val="autoZero"/>
        <auto val="1"/>
        <lblAlgn val="ctr"/>
        <lblOffset val="100"/>
        <noMultiLvlLbl val="0"/>
      </catAx>
      <valAx>
        <axId val="30211473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Story points restantes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2998460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C3" authorId="0" shapeId="0">
      <text>
        <t>Debe ser igual al TOTAL del Sprint-Backlog-S1. Si se replanifica, cambia este valor.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7</col>
      <colOff>0</colOff>
      <row>4</row>
      <rowOff>0</rowOff>
    </from>
    <to>
      <col>17</col>
      <colOff>4320</colOff>
      <row>19</row>
      <rowOff>5040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4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17" min="1" max="1"/>
    <col width="17" customWidth="1" style="17" min="2" max="2"/>
    <col width="15" customWidth="1" style="17" min="3" max="5"/>
    <col width="48" customWidth="1" style="17" min="6" max="6"/>
  </cols>
  <sheetData>
    <row r="1" ht="25.5" customHeight="1" s="18">
      <c r="A1" s="19" t="inlineStr">
        <is>
          <t>BURNDOWN — SPRINT 1</t>
        </is>
      </c>
    </row>
    <row r="2" ht="15" customHeight="1" s="18">
      <c r="A2" s="20" t="inlineStr">
        <is>
          <t>Período: 7 de septiembre — 2 de octubre de 2026  |  Días hábiles: 20 (incluye 18 de septiembre, trabajado por el equipo)  |  Estado al 5 de octubre de 2026 (sprint cerrado)</t>
        </is>
      </c>
    </row>
    <row r="3" ht="15" customHeight="1" s="18">
      <c r="A3" s="21" t="inlineStr">
        <is>
          <t>Story points comprometidos:</t>
        </is>
      </c>
      <c r="C3" s="22" t="n">
        <v>65</v>
      </c>
    </row>
    <row r="5" ht="30" customHeight="1" s="18">
      <c r="A5" s="23" t="inlineStr">
        <is>
          <t>Día</t>
        </is>
      </c>
      <c r="B5" s="23" t="inlineStr">
        <is>
          <t>Fecha</t>
        </is>
      </c>
      <c r="C5" s="23" t="inlineStr">
        <is>
          <t>Puntos restantes (ideal)</t>
        </is>
      </c>
      <c r="D5" s="23" t="inlineStr">
        <is>
          <t>Puntos restantes (real)</t>
        </is>
      </c>
      <c r="E5" s="23" t="inlineStr">
        <is>
          <t>Diferencia (real − ideal)</t>
        </is>
      </c>
      <c r="F5" s="23" t="inlineStr">
        <is>
          <t>Nota del día</t>
        </is>
      </c>
    </row>
    <row r="6" ht="15" customHeight="1" s="18">
      <c r="A6" s="24" t="n">
        <v>1</v>
      </c>
      <c r="B6" s="25" t="n">
        <v>46272</v>
      </c>
      <c r="C6" s="24">
        <f>ROUND($C$3-$C$3*(A6-1)/(20-1),1)</f>
        <v/>
      </c>
      <c r="D6" s="26" t="n">
        <v>65</v>
      </c>
      <c r="E6" s="27">
        <f>IF(D6="","",D6-C6)</f>
        <v/>
      </c>
      <c r="F6" s="28" t="n"/>
    </row>
    <row r="7" ht="15" customHeight="1" s="18">
      <c r="A7" s="24" t="n">
        <v>2</v>
      </c>
      <c r="B7" s="25" t="n">
        <v>46273</v>
      </c>
      <c r="C7" s="24">
        <f>ROUND($C$3-$C$3*(A7-1)/(20-1),1)</f>
        <v/>
      </c>
      <c r="D7" s="26" t="n">
        <v>65</v>
      </c>
      <c r="E7" s="27">
        <f>IF(D7="","",D7-C7)</f>
        <v/>
      </c>
      <c r="F7" s="28" t="n"/>
    </row>
    <row r="8" ht="15" customHeight="1" s="18">
      <c r="A8" s="24" t="n">
        <v>3</v>
      </c>
      <c r="B8" s="25" t="n">
        <v>46274</v>
      </c>
      <c r="C8" s="24">
        <f>ROUND($C$3-$C$3*(A8-1)/(20-1),1)</f>
        <v/>
      </c>
      <c r="D8" s="26" t="n">
        <v>65</v>
      </c>
      <c r="E8" s="27">
        <f>IF(D8="","",D8-C8)</f>
        <v/>
      </c>
      <c r="F8" s="28" t="n"/>
    </row>
    <row r="9" ht="15" customHeight="1" s="18">
      <c r="A9" s="24" t="n">
        <v>4</v>
      </c>
      <c r="B9" s="25" t="n">
        <v>46275</v>
      </c>
      <c r="C9" s="24">
        <f>ROUND($C$3-$C$3*(A9-1)/(20-1),1)</f>
        <v/>
      </c>
      <c r="D9" s="26" t="n">
        <v>65</v>
      </c>
      <c r="E9" s="27">
        <f>IF(D9="","",D9-C9)</f>
        <v/>
      </c>
      <c r="F9" s="28" t="n"/>
    </row>
    <row r="10" ht="15" customHeight="1" s="18">
      <c r="A10" s="24" t="n">
        <v>5</v>
      </c>
      <c r="B10" s="25" t="n">
        <v>46276</v>
      </c>
      <c r="C10" s="24">
        <f>ROUND($C$3-$C$3*(A10-1)/(20-1),1)</f>
        <v/>
      </c>
      <c r="D10" s="26" t="n">
        <v>65</v>
      </c>
      <c r="E10" s="27">
        <f>IF(D10="","",D10-C10)</f>
        <v/>
      </c>
      <c r="F10" s="28" t="n"/>
    </row>
    <row r="11" ht="15" customHeight="1" s="18">
      <c r="A11" s="24" t="n">
        <v>6</v>
      </c>
      <c r="B11" s="25" t="n">
        <v>46279</v>
      </c>
      <c r="C11" s="24">
        <f>ROUND($C$3-$C$3*(A11-1)/(20-1),1)</f>
        <v/>
      </c>
      <c r="D11" s="26" t="n">
        <v>65</v>
      </c>
      <c r="E11" s="27">
        <f>IF(D11="","",D11-C11)</f>
        <v/>
      </c>
      <c r="F11" s="28" t="n"/>
    </row>
    <row r="12" ht="15" customHeight="1" s="18">
      <c r="A12" s="24" t="n">
        <v>7</v>
      </c>
      <c r="B12" s="25" t="n">
        <v>46280</v>
      </c>
      <c r="C12" s="24">
        <f>ROUND($C$3-$C$3*(A12-1)/(20-1),1)</f>
        <v/>
      </c>
      <c r="D12" s="26" t="n">
        <v>65</v>
      </c>
      <c r="E12" s="27">
        <f>IF(D12="","",D12-C12)</f>
        <v/>
      </c>
      <c r="F12" s="28" t="n"/>
    </row>
    <row r="13" ht="15" customHeight="1" s="18">
      <c r="A13" s="24" t="n">
        <v>8</v>
      </c>
      <c r="B13" s="25" t="n">
        <v>46281</v>
      </c>
      <c r="C13" s="24">
        <f>ROUND($C$3-$C$3*(A13-1)/(20-1),1)</f>
        <v/>
      </c>
      <c r="D13" s="26" t="n">
        <v>65</v>
      </c>
      <c r="E13" s="27">
        <f>IF(D13="","",D13-C13)</f>
        <v/>
      </c>
      <c r="F13" s="28" t="n"/>
    </row>
    <row r="14" ht="15" customHeight="1" s="18">
      <c r="A14" s="24" t="n">
        <v>9</v>
      </c>
      <c r="B14" s="25" t="n">
        <v>46282</v>
      </c>
      <c r="C14" s="24">
        <f>ROUND($C$3-$C$3*(A14-1)/(20-1),1)</f>
        <v/>
      </c>
      <c r="D14" s="26" t="n">
        <v>65</v>
      </c>
      <c r="E14" s="27">
        <f>IF(D14="","",D14-C14)</f>
        <v/>
      </c>
      <c r="F14" s="28" t="n"/>
    </row>
    <row r="15" ht="15" customHeight="1" s="18">
      <c r="A15" s="24" t="n">
        <v>10</v>
      </c>
      <c r="B15" s="25" t="n">
        <v>46283</v>
      </c>
      <c r="C15" s="24">
        <f>ROUND($C$3-$C$3*(A15-1)/(20-1),1)</f>
        <v/>
      </c>
      <c r="D15" s="26" t="n">
        <v>65</v>
      </c>
      <c r="E15" s="27">
        <f>IF(D15="","",D15-C15)</f>
        <v/>
      </c>
      <c r="F15" s="28" t="n"/>
    </row>
    <row r="16" ht="15" customHeight="1" s="18">
      <c r="A16" s="24" t="n">
        <v>11</v>
      </c>
      <c r="B16" s="25" t="n">
        <v>46286</v>
      </c>
      <c r="C16" s="24">
        <f>ROUND($C$3-$C$3*(A16-1)/(20-1),1)</f>
        <v/>
      </c>
      <c r="D16" s="26" t="n">
        <v>65</v>
      </c>
      <c r="E16" s="27">
        <f>IF(D16="","",D16-C16)</f>
        <v/>
      </c>
      <c r="F16" s="28" t="n"/>
    </row>
    <row r="17" ht="15" customHeight="1" s="18">
      <c r="A17" s="24" t="n">
        <v>12</v>
      </c>
      <c r="B17" s="25" t="n">
        <v>46287</v>
      </c>
      <c r="C17" s="24">
        <f>ROUND($C$3-$C$3*(A17-1)/(20-1),1)</f>
        <v/>
      </c>
      <c r="D17" s="26" t="n">
        <v>65</v>
      </c>
      <c r="E17" s="27">
        <f>IF(D17="","",D17-C17)</f>
        <v/>
      </c>
      <c r="F17" s="28" t="n"/>
    </row>
    <row r="18" ht="22.35" customHeight="1" s="18">
      <c r="A18" s="24" t="n">
        <v>13</v>
      </c>
      <c r="B18" s="25" t="n">
        <v>46288</v>
      </c>
      <c r="C18" s="24">
        <f>ROUND($C$3-$C$3*(A18-1)/(20-1),1)</f>
        <v/>
      </c>
      <c r="D18" s="26" t="n">
        <v>65</v>
      </c>
      <c r="E18" s="27">
        <f>IF(D18="","",D18-C18)</f>
        <v/>
      </c>
      <c r="F18" s="28" t="inlineStr">
        <is>
          <t>Reunión interna del equipo (organización del S1, avance BD, inicio de Trello)</t>
        </is>
      </c>
    </row>
    <row r="19" ht="22.35" customHeight="1" s="18">
      <c r="A19" s="24" t="n">
        <v>14</v>
      </c>
      <c r="B19" s="25" t="n">
        <v>46289</v>
      </c>
      <c r="C19" s="24">
        <f>ROUND($C$3-$C$3*(A19-1)/(20-1),1)</f>
        <v/>
      </c>
      <c r="D19" s="26" t="n">
        <v>65</v>
      </c>
      <c r="E19" s="27">
        <f>IF(D19="","",D19-C19)</f>
        <v/>
      </c>
      <c r="F19" s="28" t="inlineStr">
        <is>
          <t>Corte: BD casi lista y 3 vistas de usuario en progreso; 0 historias terminadas</t>
        </is>
      </c>
    </row>
    <row r="20" ht="48" customHeight="1" s="18">
      <c r="A20" s="24" t="n">
        <v>15</v>
      </c>
      <c r="B20" s="25" t="n">
        <v>46290</v>
      </c>
      <c r="C20" s="24">
        <f>ROUND($C$3-$C$3*(A20-1)/(20-1),1)</f>
        <v/>
      </c>
      <c r="D20" s="26" t="n">
        <v>44</v>
      </c>
      <c r="E20" s="27">
        <f>IF(D20="","",D20-C20)</f>
        <v/>
      </c>
      <c r="F20" s="37" t="inlineStr">
        <is>
          <t>Hechas: PC-AUT-01, 03, PC-CAT-02, PC-WEB-01, PC-CAP-01 (21 pts) → 44 restantes.</t>
        </is>
      </c>
    </row>
    <row r="21" ht="48" customHeight="1" s="18">
      <c r="A21" s="24" t="n">
        <v>16</v>
      </c>
      <c r="B21" s="25" t="n">
        <v>46293</v>
      </c>
      <c r="C21" s="24">
        <f>ROUND($C$3-$C$3*(A21-1)/(20-1),1)</f>
        <v/>
      </c>
      <c r="D21" s="26" t="n">
        <v>5</v>
      </c>
      <c r="E21" s="27">
        <f>IF(D21="","",D21-C21)</f>
        <v/>
      </c>
      <c r="F21" s="37" t="inlineStr">
        <is>
          <t>Hechas entre el 26 y el 28 sep: PC-AUT-02, 06, CAT-01, SEO-01, SEO-02, TEC-02, WEB-03 y WEB-02 (39 pts) → 5 restantes (PC-TEC-03, fuera de alcance).</t>
        </is>
      </c>
    </row>
    <row r="22" ht="15" customHeight="1" s="18">
      <c r="A22" s="24" t="n">
        <v>17</v>
      </c>
      <c r="B22" s="25" t="n">
        <v>46294</v>
      </c>
      <c r="C22" s="24">
        <f>ROUND($C$3-$C$3*(A22-1)/(20-1),1)</f>
        <v/>
      </c>
      <c r="D22" s="26" t="n">
        <v>5</v>
      </c>
      <c r="E22" s="27">
        <f>IF(D22="","",D22-C22)</f>
        <v/>
      </c>
      <c r="F22" s="28" t="inlineStr">
        <is>
          <t>Sin cambios: solo queda PC-TEC-03.</t>
        </is>
      </c>
    </row>
    <row r="23" ht="15" customHeight="1" s="18">
      <c r="A23" s="24" t="n">
        <v>18</v>
      </c>
      <c r="B23" s="25" t="n">
        <v>46295</v>
      </c>
      <c r="C23" s="24">
        <f>ROUND($C$3-$C$3*(A23-1)/(20-1),1)</f>
        <v/>
      </c>
      <c r="D23" s="26" t="n">
        <v>5</v>
      </c>
      <c r="E23" s="27">
        <f>IF(D23="","",D23-C23)</f>
        <v/>
      </c>
      <c r="F23" s="28" t="n"/>
    </row>
    <row r="24" ht="15" customHeight="1" s="18">
      <c r="A24" s="24" t="n">
        <v>19</v>
      </c>
      <c r="B24" s="25" t="n">
        <v>46296</v>
      </c>
      <c r="C24" s="24">
        <f>ROUND($C$3-$C$3*(A24-1)/(20-1),1)</f>
        <v/>
      </c>
      <c r="D24" s="26" t="n">
        <v>5</v>
      </c>
      <c r="E24" s="27">
        <f>IF(D24="","",D24-C24)</f>
        <v/>
      </c>
      <c r="F24" s="28" t="n"/>
    </row>
    <row r="25" ht="15" customHeight="1" s="18">
      <c r="A25" s="24" t="n">
        <v>20</v>
      </c>
      <c r="B25" s="25" t="n">
        <v>46297</v>
      </c>
      <c r="C25" s="24">
        <f>ROUND($C$3-$C$3*(A25-1)/(20-1),1)</f>
        <v/>
      </c>
      <c r="D25" s="26" t="n">
        <v>5</v>
      </c>
      <c r="E25" s="27">
        <f>IF(D25="","",D25-C25)</f>
        <v/>
      </c>
      <c r="F25" s="28" t="n"/>
    </row>
    <row r="27" ht="15" customHeight="1" s="18">
      <c r="A27" s="29" t="inlineStr">
        <is>
          <t>Resumen (se calcula solo)</t>
        </is>
      </c>
    </row>
    <row r="28" ht="15" customHeight="1" s="18">
      <c r="A28" s="30" t="inlineStr">
        <is>
          <t>Días hábiles del sprint</t>
        </is>
      </c>
      <c r="B28" s="31" t="n"/>
      <c r="C28" s="32">
        <f>COUNT(B6:B25)</f>
        <v/>
      </c>
    </row>
    <row r="29" ht="15" customHeight="1" s="18">
      <c r="A29" s="30" t="inlineStr">
        <is>
          <t>Días registrados</t>
        </is>
      </c>
      <c r="B29" s="31" t="n"/>
      <c r="C29" s="32">
        <f>COUNT(D6:D25)</f>
        <v/>
      </c>
    </row>
    <row r="30" ht="15" customHeight="1" s="18">
      <c r="A30" s="30" t="inlineStr">
        <is>
          <t>Puntos restantes hoy (real)</t>
        </is>
      </c>
      <c r="B30" s="31" t="n"/>
      <c r="C30" s="32">
        <f>IF(C29=0,$C$3,INDEX(D6:D25,C29))</f>
        <v/>
      </c>
    </row>
    <row r="31" ht="15" customHeight="1" s="18">
      <c r="A31" s="30" t="inlineStr">
        <is>
          <t>Puntos terminados</t>
        </is>
      </c>
      <c r="B31" s="31" t="n"/>
      <c r="C31" s="32">
        <f>$C$3-C30</f>
        <v/>
      </c>
    </row>
    <row r="32" ht="15" customHeight="1" s="18">
      <c r="A32" s="30" t="inlineStr">
        <is>
          <t>Puntos restantes hoy (ideal)</t>
        </is>
      </c>
      <c r="B32" s="31" t="n"/>
      <c r="C32" s="33">
        <f>IF(C29=0,$C$3,INDEX(C6:C25,C29))</f>
        <v/>
      </c>
    </row>
    <row r="33" ht="23.85" customHeight="1" s="18">
      <c r="A33" s="30" t="inlineStr">
        <is>
          <t>Atraso respecto del ideal (pts)</t>
        </is>
      </c>
      <c r="B33" s="31" t="n"/>
      <c r="C33" s="33">
        <f>C30-C32</f>
        <v/>
      </c>
    </row>
    <row r="34" ht="15" customHeight="1" s="18">
      <c r="A34" s="30" t="inlineStr">
        <is>
          <t>Días hábiles que quedan</t>
        </is>
      </c>
      <c r="B34" s="31" t="n"/>
      <c r="C34" s="32">
        <f>C28-C29</f>
        <v/>
      </c>
    </row>
    <row r="36" ht="15" customHeight="1" s="18">
      <c r="A36" s="34" t="inlineStr">
        <is>
          <t>Notas</t>
        </is>
      </c>
    </row>
    <row r="37" ht="15" customHeight="1" s="18">
      <c r="A37" s="35" t="inlineStr">
        <is>
          <t>• Cómo usar: cada día hábil anota en "Puntos restantes (real)" los story points que aún no están en Hecho. Deja en blanco los días futuros.</t>
        </is>
      </c>
    </row>
    <row r="38" ht="15" customHeight="1" s="18">
      <c r="A38" s="35" t="inlineStr">
        <is>
          <t>• Los puntos solo bajan cuando una historia completa pasa a Hecho; las tareas T-… (BD, interfaces, documentos) no restan puntos.</t>
        </is>
      </c>
    </row>
    <row r="39" ht="15" customHeight="1" s="18">
      <c r="A39" s="35" t="inlineStr">
        <is>
          <t>• Días 1 a 14 en 65: al 24 sep ninguna historia estaba terminada (informado por el equipo). El total comprometido es 65 pts porque el 26 sep se trasladaron 24 pts a Sprint 2 (se muestra el total replanificado en todo el período).</t>
        </is>
      </c>
    </row>
    <row r="40" ht="15" customHeight="1" s="18">
      <c r="A40" s="35" t="inlineStr">
        <is>
          <t>• El viernes 18 de septiembre (feriado) se cuenta como día hábil porque el equipo trabajó ese día.</t>
        </is>
      </c>
    </row>
    <row r="41">
      <c r="A41" s="36" t="inlineStr">
        <is>
          <t>• Cierre: 60 de 65 pts en Hecho. Los 5 pts restantes son PC-TEC-03 (ambiente de pruebas en GCP), sacada del alcance por decisión del equipo. Valores reconstruidos el 5 oct con las fechas de término del Sprint Backlog S1; los días 26 y 27 sep (fin de semana) se acumulan en el día 16 (28 sep).</t>
        </is>
      </c>
    </row>
  </sheetData>
  <mergeCells count="14">
    <mergeCell ref="A38:F38"/>
    <mergeCell ref="A2:F2"/>
    <mergeCell ref="A30:B30"/>
    <mergeCell ref="A29:B29"/>
    <mergeCell ref="A33:B33"/>
    <mergeCell ref="A1:F1"/>
    <mergeCell ref="A37:F37"/>
    <mergeCell ref="A28:B28"/>
    <mergeCell ref="A32:B32"/>
    <mergeCell ref="A40:F40"/>
    <mergeCell ref="A31:B31"/>
    <mergeCell ref="A3:B3"/>
    <mergeCell ref="A39:F39"/>
    <mergeCell ref="A34:B34"/>
  </mergeCells>
  <conditionalFormatting sqref="E6:E25">
    <cfRule type="cellIs" rank="0" priority="2" equalAverage="0" operator="greaterThan" aboveAverage="0" dxfId="0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2026-09-24T15:01:37Z</dcterms:created>
  <dcterms:modified xmlns:dcterms="http://purl.org/dc/terms/" xmlns:xsi="http://www.w3.org/2001/XMLSchema-instance" xsi:type="dcterms:W3CDTF">2026-10-05T16:52:55Z</dcterms:modified>
  <cp:revision>1</cp:revision>
</cp:coreProperties>
</file>